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family\Documents\Family\Tesla\Tesla_Charging_Log\"/>
    </mc:Choice>
  </mc:AlternateContent>
  <xr:revisionPtr revIDLastSave="0" documentId="13_ncr:1_{BDBCD9C2-A68F-4463-852F-E7E25C329361}" xr6:coauthVersionLast="47" xr6:coauthVersionMax="47" xr10:uidLastSave="{00000000-0000-0000-0000-000000000000}"/>
  <bookViews>
    <workbookView xWindow="-120" yWindow="-120" windowWidth="24240" windowHeight="13290" xr2:uid="{BFC4E59E-748C-4470-93C8-642BD78F3CDE}"/>
  </bookViews>
  <sheets>
    <sheet name="Summary" sheetId="15" r:id="rId1"/>
    <sheet name="Charge_Calculator" sheetId="6" r:id="rId2"/>
    <sheet name="Charging_Log-2024-1" sheetId="8" r:id="rId3"/>
    <sheet name="Charging_Log-Template" sheetId="13" state="hidden" r:id="rId4"/>
    <sheet name="License Terms" sheetId="11" r:id="rId5"/>
    <sheet name="Release Notes" sheetId="14" r:id="rId6"/>
    <sheet name="Charging_Log-2023-12" sheetId="4" state="hidden" r:id="rId7"/>
    <sheet name="Rates" sheetId="2" state="hidden" r:id="rId8"/>
  </sheets>
  <definedNames>
    <definedName name="afterKwhH">Charge_Calculator!$E$6</definedName>
    <definedName name="afterKwhP">Charge_Calculator!$E$7</definedName>
    <definedName name="afterMilesH">Charge_Calculator!$D$6</definedName>
    <definedName name="afterMilesP">Charge_Calculator!$D$7</definedName>
    <definedName name="afterODO">Charge_Calculator!$D$3</definedName>
    <definedName name="afterPercH">Charge_Calculator!$F$6</definedName>
    <definedName name="afterPercP">Charge_Calculator!$F$7</definedName>
    <definedName name="afterTimeH">Charge_Calculator!$J$6</definedName>
    <definedName name="afterTimeP">Charge_Calculator!$J$7</definedName>
    <definedName name="beforeMiles">Charge_Calculator!$D$2</definedName>
    <definedName name="beforePerc">Charge_Calculator!$E$2</definedName>
    <definedName name="beforeTime">Charge_Calculator!$I$7</definedName>
    <definedName name="lastOdo">Charge_Calculator!$M$7</definedName>
    <definedName name="mpg">Charge_Calculator!$M$10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3" i="8" l="1"/>
  <c r="R13" i="8"/>
  <c r="Q13" i="8"/>
  <c r="P13" i="8"/>
  <c r="K13" i="8"/>
  <c r="J13" i="8"/>
  <c r="S6" i="8"/>
  <c r="U7" i="8"/>
  <c r="W7" i="8" s="1"/>
  <c r="T7" i="8"/>
  <c r="V7" i="8" s="1"/>
  <c r="S7" i="8"/>
  <c r="O7" i="8"/>
  <c r="N7" i="8"/>
  <c r="L7" i="8"/>
  <c r="K7" i="8"/>
  <c r="J7" i="8"/>
  <c r="E9" i="15"/>
  <c r="D9" i="15"/>
  <c r="C9" i="15"/>
  <c r="B9" i="15"/>
  <c r="A15" i="15"/>
  <c r="F9" i="15"/>
  <c r="U12" i="8"/>
  <c r="W12" i="8" s="1"/>
  <c r="T12" i="8"/>
  <c r="V12" i="8" s="1"/>
  <c r="S12" i="8"/>
  <c r="L12" i="8"/>
  <c r="K12" i="8"/>
  <c r="J12" i="8"/>
  <c r="D12" i="8"/>
  <c r="R4" i="13"/>
  <c r="R1" i="13"/>
  <c r="R4" i="8"/>
  <c r="R1" i="8"/>
  <c r="M2" i="8"/>
  <c r="D10" i="15" s="1"/>
  <c r="R11" i="8"/>
  <c r="R10" i="8"/>
  <c r="R9" i="8"/>
  <c r="R6" i="8"/>
  <c r="L11" i="8"/>
  <c r="L10" i="8"/>
  <c r="L9" i="8"/>
  <c r="L8" i="8"/>
  <c r="L6" i="8"/>
  <c r="W10" i="8"/>
  <c r="V8" i="8"/>
  <c r="P8" i="8" s="1"/>
  <c r="U11" i="8"/>
  <c r="W11" i="8" s="1"/>
  <c r="T11" i="8"/>
  <c r="V11" i="8" s="1"/>
  <c r="P11" i="8" s="1"/>
  <c r="U10" i="8"/>
  <c r="T10" i="8"/>
  <c r="V10" i="8" s="1"/>
  <c r="U9" i="8"/>
  <c r="W9" i="8" s="1"/>
  <c r="T9" i="8"/>
  <c r="V9" i="8" s="1"/>
  <c r="U8" i="8"/>
  <c r="W8" i="8" s="1"/>
  <c r="T8" i="8"/>
  <c r="D11" i="8"/>
  <c r="G6" i="6"/>
  <c r="E6" i="6" s="1"/>
  <c r="F7" i="6"/>
  <c r="D7" i="6"/>
  <c r="G7" i="6" s="1"/>
  <c r="E7" i="6" s="1"/>
  <c r="M13" i="6"/>
  <c r="M14" i="6" s="1"/>
  <c r="X7" i="8" l="1"/>
  <c r="P7" i="8"/>
  <c r="Q7" i="8" s="1"/>
  <c r="R7" i="8" s="1"/>
  <c r="D3" i="15"/>
  <c r="L2" i="8"/>
  <c r="X12" i="8"/>
  <c r="P12" i="8"/>
  <c r="Q12" i="8" s="1"/>
  <c r="R12" i="8" s="1"/>
  <c r="P9" i="8"/>
  <c r="X9" i="8"/>
  <c r="X10" i="8"/>
  <c r="P10" i="8"/>
  <c r="X8" i="8"/>
  <c r="U6" i="8"/>
  <c r="W6" i="8" s="1"/>
  <c r="T6" i="8"/>
  <c r="V6" i="8" s="1"/>
  <c r="X11" i="8"/>
  <c r="D6" i="6"/>
  <c r="F6" i="6" s="1"/>
  <c r="S11" i="8"/>
  <c r="S10" i="8"/>
  <c r="S9" i="8"/>
  <c r="S8" i="8"/>
  <c r="S2" i="8"/>
  <c r="K11" i="8"/>
  <c r="J11" i="8"/>
  <c r="C10" i="15" l="1"/>
  <c r="G10" i="15"/>
  <c r="X6" i="8"/>
  <c r="P6" i="8"/>
  <c r="Q11" i="8"/>
  <c r="C3" i="15" l="1"/>
  <c r="P2" i="8"/>
  <c r="G3" i="15"/>
  <c r="O10" i="8"/>
  <c r="N10" i="8"/>
  <c r="O9" i="8"/>
  <c r="N9" i="8"/>
  <c r="O8" i="8"/>
  <c r="N8" i="8"/>
  <c r="O6" i="8"/>
  <c r="N6" i="8"/>
  <c r="K6" i="8"/>
  <c r="J10" i="8"/>
  <c r="D10" i="8"/>
  <c r="K10" i="8" s="1"/>
  <c r="J9" i="8"/>
  <c r="D9" i="8"/>
  <c r="K9" i="8" s="1"/>
  <c r="J8" i="8"/>
  <c r="D8" i="8"/>
  <c r="K8" i="8" s="1"/>
  <c r="J6" i="8"/>
  <c r="E10" i="15" l="1"/>
  <c r="K2" i="8"/>
  <c r="Q9" i="8"/>
  <c r="Q8" i="8"/>
  <c r="R8" i="8" s="1"/>
  <c r="Q10" i="8"/>
  <c r="Q6" i="8"/>
  <c r="I7" i="6"/>
  <c r="P12" i="4"/>
  <c r="Q12" i="4" s="1"/>
  <c r="R12" i="4" s="1"/>
  <c r="O12" i="4"/>
  <c r="N12" i="4"/>
  <c r="L12" i="4"/>
  <c r="K12" i="4"/>
  <c r="J12" i="4"/>
  <c r="O11" i="4"/>
  <c r="N11" i="4"/>
  <c r="L11" i="4"/>
  <c r="P11" i="4" s="1"/>
  <c r="Q11" i="4" s="1"/>
  <c r="R11" i="4" s="1"/>
  <c r="K11" i="4"/>
  <c r="J11" i="4"/>
  <c r="O10" i="4"/>
  <c r="N10" i="4"/>
  <c r="N9" i="4"/>
  <c r="L10" i="4"/>
  <c r="J10" i="4"/>
  <c r="K10" i="4"/>
  <c r="K2" i="4" s="1"/>
  <c r="E2" i="6"/>
  <c r="O9" i="4"/>
  <c r="L9" i="4"/>
  <c r="P9" i="4" s="1"/>
  <c r="Q9" i="4" s="1"/>
  <c r="R9" i="4" s="1"/>
  <c r="K9" i="4"/>
  <c r="J9" i="4"/>
  <c r="O8" i="4"/>
  <c r="N8" i="4"/>
  <c r="L8" i="4"/>
  <c r="P8" i="4" s="1"/>
  <c r="Q8" i="4" s="1"/>
  <c r="R8" i="4" s="1"/>
  <c r="K8" i="4"/>
  <c r="J8" i="4"/>
  <c r="O7" i="4"/>
  <c r="N7" i="4"/>
  <c r="L7" i="4"/>
  <c r="P7" i="4" s="1"/>
  <c r="Q7" i="4" s="1"/>
  <c r="R7" i="4" s="1"/>
  <c r="K7" i="4"/>
  <c r="J7" i="4"/>
  <c r="O6" i="4"/>
  <c r="N6" i="4"/>
  <c r="L6" i="4"/>
  <c r="P6" i="4" s="1"/>
  <c r="Q6" i="4" s="1"/>
  <c r="R6" i="4" s="1"/>
  <c r="K6" i="4"/>
  <c r="J6" i="4"/>
  <c r="I6" i="6"/>
  <c r="M19" i="6"/>
  <c r="M2" i="4"/>
  <c r="G16" i="2"/>
  <c r="F16" i="2"/>
  <c r="F15" i="2"/>
  <c r="G15" i="2" s="1"/>
  <c r="E3" i="15" l="1"/>
  <c r="R2" i="8"/>
  <c r="B10" i="15"/>
  <c r="J7" i="6"/>
  <c r="P10" i="4"/>
  <c r="Q10" i="4" s="1"/>
  <c r="R10" i="4" s="1"/>
  <c r="J6" i="6"/>
  <c r="L2" i="4"/>
  <c r="F10" i="15" l="1"/>
  <c r="B3" i="15"/>
  <c r="F3" i="15" s="1"/>
  <c r="P2" i="4"/>
  <c r="R2"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family</author>
  </authors>
  <commentList>
    <comment ref="K1" authorId="0" shapeId="0" xr:uid="{27DBCFD0-6772-4F3D-9ECE-9E293A91C22B}">
      <text>
        <r>
          <rPr>
            <b/>
            <sz val="9"/>
            <color indexed="81"/>
            <rFont val="Tahoma"/>
            <family val="2"/>
          </rPr>
          <t>Global configuration/settings are contained here in hidden rows L:N.</t>
        </r>
      </text>
    </comment>
    <comment ref="L10" authorId="0" shapeId="0" xr:uid="{9A65B94D-4A7C-4E4F-A073-1ED100B94672}">
      <text>
        <r>
          <rPr>
            <b/>
            <sz val="9"/>
            <color indexed="81"/>
            <rFont val="Tahoma"/>
            <family val="2"/>
          </rPr>
          <t>This setting is for comparison with a ICE car.</t>
        </r>
      </text>
    </comment>
    <comment ref="M13" authorId="0" shapeId="0" xr:uid="{59D6B7AA-E0AC-4C8F-B613-E4D8605F7B43}">
      <text>
        <r>
          <rPr>
            <b/>
            <sz val="9"/>
            <color indexed="81"/>
            <rFont val="Tahoma"/>
            <family val="2"/>
          </rPr>
          <t>Max Miles/Max Kwh gives kw/mile</t>
        </r>
      </text>
    </comment>
    <comment ref="M14" authorId="0" shapeId="0" xr:uid="{C606BE4E-D806-4EEA-9298-83944C9FF5F4}">
      <text>
        <r>
          <rPr>
            <b/>
            <sz val="9"/>
            <color indexed="81"/>
            <rFont val="Tahoma"/>
            <family val="2"/>
          </rPr>
          <t>kw/mile * mile/hr charging rate gives kwh</t>
        </r>
      </text>
    </comment>
  </commentList>
</comments>
</file>

<file path=xl/sharedStrings.xml><?xml version="1.0" encoding="utf-8"?>
<sst xmlns="http://schemas.openxmlformats.org/spreadsheetml/2006/main" count="194" uniqueCount="94">
  <si>
    <t>Kwh</t>
  </si>
  <si>
    <t>Started</t>
  </si>
  <si>
    <t>Customer Charge per Month</t>
  </si>
  <si>
    <t>Summer Rate</t>
  </si>
  <si>
    <t>Winter Rate</t>
  </si>
  <si>
    <t>Residential Evening/Morning Saver Service</t>
  </si>
  <si>
    <t>Summer Peak</t>
  </si>
  <si>
    <t>Winter Peak</t>
  </si>
  <si>
    <t>SMTWHFS</t>
  </si>
  <si>
    <t>&lt;= 750 Kwh</t>
  </si>
  <si>
    <t>&gt; 750 Kwh</t>
  </si>
  <si>
    <t>Energy per Kwh - Off Peak</t>
  </si>
  <si>
    <t>Energy per Kwh - On Peak</t>
  </si>
  <si>
    <t>Summer</t>
  </si>
  <si>
    <t>Winter</t>
  </si>
  <si>
    <t>June-September</t>
  </si>
  <si>
    <t>January-May, October-December</t>
  </si>
  <si>
    <t>Miles</t>
  </si>
  <si>
    <t>Ended</t>
  </si>
  <si>
    <t>Hours</t>
  </si>
  <si>
    <t>Odometer</t>
  </si>
  <si>
    <t>Charge %</t>
  </si>
  <si>
    <t>Charge Miles</t>
  </si>
  <si>
    <t>Before</t>
  </si>
  <si>
    <t>After</t>
  </si>
  <si>
    <t>Cost
(per 30  miles)</t>
  </si>
  <si>
    <t>Cost/Kwh
(Peak)</t>
  </si>
  <si>
    <t>Cost/Kwh
(No Peak)</t>
  </si>
  <si>
    <t>Diff</t>
  </si>
  <si>
    <t>Cost
(per mile)</t>
  </si>
  <si>
    <t>Total
Cost (*)</t>
  </si>
  <si>
    <t>Peak Hours</t>
  </si>
  <si>
    <t>Off Peak Hours</t>
  </si>
  <si>
    <t>(*) This formula only works if you start charging at 9:00 PM (start of off peak hours). The formula is actually number of non-peak hours * kwh/hour * Cost/kwh (non-peak) + number of peak hours * kwh/hour * cost/kwh (peak). Assumes kwh/hour is constant during the charging cycle (FALSE). Uses odometer miles and not charge miles.</t>
  </si>
  <si>
    <t>Monthly Totals</t>
  </si>
  <si>
    <t>Total
Cost</t>
  </si>
  <si>
    <t>Cost
(per 30 miles)</t>
  </si>
  <si>
    <t>Month</t>
  </si>
  <si>
    <t>Total Cost</t>
  </si>
  <si>
    <t>Cost/Gal</t>
  </si>
  <si>
    <t>Before Charging Starts</t>
  </si>
  <si>
    <t>After Charging Completes</t>
  </si>
  <si>
    <t>Formula-Don't touch</t>
  </si>
  <si>
    <t>Amps</t>
  </si>
  <si>
    <t>Volts</t>
  </si>
  <si>
    <t>Max Capacity</t>
  </si>
  <si>
    <t>Max Miles</t>
  </si>
  <si>
    <t>Start Time</t>
  </si>
  <si>
    <t>End Time</t>
  </si>
  <si>
    <t>Before Charge</t>
  </si>
  <si>
    <t>%</t>
  </si>
  <si>
    <t>Totals</t>
  </si>
  <si>
    <t>Charges</t>
  </si>
  <si>
    <t>Hour Charge</t>
  </si>
  <si>
    <t>% Charge</t>
  </si>
  <si>
    <t>mpg</t>
  </si>
  <si>
    <t>Kw/mi</t>
  </si>
  <si>
    <t>Charge Rate</t>
  </si>
  <si>
    <t>miles/hr</t>
  </si>
  <si>
    <t>Car Characteristics</t>
  </si>
  <si>
    <t>ICE Comparison</t>
  </si>
  <si>
    <t>Miles/Gallon</t>
  </si>
  <si>
    <t>Kwh Calculation #1</t>
  </si>
  <si>
    <t>Kwh Calculation #2</t>
  </si>
  <si>
    <t>Hours off peak</t>
  </si>
  <si>
    <t>Hours Peak</t>
  </si>
  <si>
    <t>Cost off peak</t>
  </si>
  <si>
    <t>Cost peak</t>
  </si>
  <si>
    <t>Kw</t>
  </si>
  <si>
    <r>
      <rPr>
        <sz val="11"/>
        <color theme="1"/>
        <rFont val="Calibri"/>
        <family val="2"/>
      </rPr>
      <t>© BAG IT Consulting, LLC</t>
    </r>
  </si>
  <si>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</si>
  <si>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</si>
  <si>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</si>
  <si>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Copyright 2024 BAG IT Consulting, LLC</t>
  </si>
  <si>
    <t>MIT LICENSE</t>
  </si>
  <si>
    <t>Version</t>
  </si>
  <si>
    <t>Description</t>
  </si>
  <si>
    <t>Create new row based on charging for x hours or xx percent.</t>
  </si>
  <si>
    <t>Create new monthly sheet.</t>
  </si>
  <si>
    <t>Issues</t>
  </si>
  <si>
    <t>TODO</t>
  </si>
  <si>
    <t>Improve accuracy of estimates.</t>
  </si>
  <si>
    <t>Create basic layout of Log sheet, charge calculator, and summary sheets.</t>
  </si>
  <si>
    <t>(last Odometer)</t>
  </si>
  <si>
    <t>Last Odo</t>
  </si>
  <si>
    <t>Update summary sheet when creating new sheet.</t>
  </si>
  <si>
    <t>Kwh Guess</t>
  </si>
  <si>
    <t xml:space="preserve">Kw </t>
  </si>
  <si>
    <r>
      <rPr>
        <sz val="11"/>
        <color theme="1"/>
        <rFont val="Calibri"/>
        <family val="2"/>
      </rPr>
      <t>© 2024 BAG IT Consulting, LLC</t>
    </r>
  </si>
  <si>
    <r>
      <rPr>
        <sz val="11"/>
        <color theme="1"/>
        <rFont val="Calibri"/>
        <family val="2"/>
      </rPr>
      <t>©2024  BAG IT Consulting, LLC</t>
    </r>
  </si>
  <si>
    <t>Added hidden backup function</t>
  </si>
  <si>
    <t>Support:</t>
  </si>
  <si>
    <t>bagitconsultingllc@gmail.com</t>
  </si>
  <si>
    <t>Combine create new sheet and set global values routines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</si>
</sst>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
    <numFmt numFmtId="165" formatCode="_(&quot;$&quot;* #,##0.000_);_(&quot;$&quot;* \(#,##0.000\);_(&quot;$&quot;* &quot;-&quot;??_);_(@_)"/>
    <numFmt numFmtId="166" formatCode="0.000"/>
    <numFmt numFmtId="167" formatCode="mm/dd/yyyy"/>
    <numFmt numFmtId="168" formatCode="mm/dd/yyyy\ hh:mm\ AM/PM"/>
    <numFmt numFmtId="169" formatCode="mm/yyyy"/>
  </numFmts>
  <fonts count="13"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name val="Calibri"/>
      <family val="2"/>
      <scheme val="minor"/>
    </font>
    <font>
      <sz val="11"/>
      <color theme="0" tint="-0.34998626667073579"/>
      <name val="Calibri"/>
      <family val="2"/>
      <scheme val="minor"/>
    </font>
    <font>
      <sz val="11"/>
      <color rgb="FF000000"/>
      <name val="Calibri"/>
      <family val="2"/>
    </font>
    <font>
      <b/>
      <sz val="11"/>
      <color theme="0"/>
      <name val="Calibri"/>
      <family val="2"/>
      <scheme val="minor"/>
    </font>
    <font>
      <b/>
      <sz val="11"/>
      <name val="Calibri"/>
      <family val="2"/>
      <scheme val="minor"/>
    </font>
    <font>
      <sz val="11"/>
      <color rgb="FF00B050"/>
      <name val="Calibri"/>
      <family val="2"/>
      <scheme val="minor"/>
    </font>
    <font>
      <b/>
      <sz val="9"/>
      <color indexed="81"/>
      <name val="Tahoma"/>
      <family val="2"/>
    </font>
    <font>
      <sz val="11"/>
      <color theme="1"/>
      <name val="Calibri"/>
      <family val="2"/>
    </font>
    <font>
      <u/>
      <sz val="11"/>
      <color theme="1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2"/>
        <bgColor indexed="64"/>
      </patternFill>
    </fill>
  </fills>
  <borders count="1">
    <border>
      <left/>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12" fillId="0" borderId="0" applyNumberFormat="0" applyFill="0" applyBorder="0" applyAlignment="0" applyProtection="0"/>
  </cellStyleXfs>
  <cellXfs count="122">
    <xf numFmtId="0" fontId="0" fillId="0" borderId="0" xfId="0"/>
    <xf numFmtId="164" fontId="0" fillId="0" borderId="0" xfId="0" applyNumberFormat="1"/>
    <xf numFmtId="0" fontId="0" fillId="0" borderId="0" xfId="0" quotePrefix="1"/>
    <xf numFmtId="18" fontId="0" fillId="0" borderId="0" xfId="0" applyNumberFormat="1"/>
    <xf numFmtId="44" fontId="0" fillId="0" borderId="0" xfId="1" applyFont="1"/>
    <xf numFmtId="18" fontId="0" fillId="0" borderId="0" xfId="1" applyNumberFormat="1" applyFont="1"/>
    <xf numFmtId="165" fontId="0" fillId="0" borderId="0" xfId="1" applyNumberFormat="1" applyFont="1"/>
    <xf numFmtId="0" fontId="0" fillId="0" borderId="0" xfId="0" applyAlignment="1">
      <alignment horizontal="center" wrapText="1"/>
    </xf>
    <xf numFmtId="0" fontId="2" fillId="0" borderId="0" xfId="0" applyFont="1"/>
    <xf numFmtId="9" fontId="0" fillId="0" borderId="0" xfId="2" applyFont="1" applyAlignment="1">
      <alignment horizontal="center" wrapText="1"/>
    </xf>
    <xf numFmtId="9" fontId="0" fillId="0" borderId="0" xfId="2" applyFont="1"/>
    <xf numFmtId="44" fontId="0" fillId="0" borderId="0" xfId="0" applyNumberFormat="1"/>
    <xf numFmtId="166" fontId="0" fillId="0" borderId="0" xfId="0" applyNumberFormat="1"/>
    <xf numFmtId="0" fontId="3" fillId="0" borderId="0" xfId="0" applyFont="1"/>
    <xf numFmtId="0" fontId="0" fillId="0" borderId="0" xfId="0" applyFont="1"/>
    <xf numFmtId="167" fontId="0" fillId="0" borderId="0" xfId="0" applyNumberFormat="1"/>
    <xf numFmtId="168" fontId="0" fillId="0" borderId="0" xfId="0"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167" fontId="0" fillId="0" borderId="0" xfId="0" applyNumberFormat="1" applyAlignment="1">
      <alignment horizontal="center" vertical="center"/>
    </xf>
    <xf numFmtId="169" fontId="0" fillId="0" borderId="0" xfId="0" applyNumberFormat="1"/>
    <xf numFmtId="168" fontId="0" fillId="3" borderId="0" xfId="0" applyNumberFormat="1" applyFill="1"/>
    <xf numFmtId="168" fontId="0" fillId="2" borderId="0" xfId="0" applyNumberFormat="1" applyFill="1"/>
    <xf numFmtId="0" fontId="0" fillId="4" borderId="0" xfId="0" applyFill="1"/>
    <xf numFmtId="1" fontId="0" fillId="4" borderId="0" xfId="0" applyNumberFormat="1" applyFill="1"/>
    <xf numFmtId="44" fontId="0" fillId="4" borderId="0" xfId="1" applyFont="1" applyFill="1"/>
    <xf numFmtId="168" fontId="0" fillId="4" borderId="0" xfId="0" applyNumberFormat="1" applyFill="1"/>
    <xf numFmtId="167" fontId="0" fillId="4" borderId="0" xfId="0" applyNumberFormat="1" applyFill="1"/>
    <xf numFmtId="168" fontId="0" fillId="2" borderId="0" xfId="0" applyNumberFormat="1" applyFill="1" applyProtection="1">
      <protection locked="0"/>
    </xf>
    <xf numFmtId="168" fontId="0" fillId="3" borderId="0" xfId="0" applyNumberFormat="1" applyFill="1" applyProtection="1">
      <protection locked="0"/>
    </xf>
    <xf numFmtId="0" fontId="0" fillId="2" borderId="0" xfId="0" quotePrefix="1" applyFill="1" applyAlignment="1" applyProtection="1">
      <protection locked="0"/>
    </xf>
    <xf numFmtId="0" fontId="0" fillId="2" borderId="0" xfId="0" applyFill="1" applyProtection="1">
      <protection locked="0"/>
    </xf>
    <xf numFmtId="9" fontId="0" fillId="2" borderId="0" xfId="2" quotePrefix="1" applyFont="1" applyFill="1" applyAlignment="1" applyProtection="1">
      <protection locked="0"/>
    </xf>
    <xf numFmtId="9" fontId="0" fillId="3" borderId="0" xfId="2" applyFont="1" applyFill="1" applyProtection="1">
      <protection locked="0"/>
    </xf>
    <xf numFmtId="0" fontId="0" fillId="3" borderId="0" xfId="0" applyFill="1" applyProtection="1">
      <protection locked="0"/>
    </xf>
    <xf numFmtId="9" fontId="0" fillId="2" borderId="0" xfId="2" applyFont="1" applyFill="1" applyProtection="1">
      <protection locked="0"/>
    </xf>
    <xf numFmtId="166" fontId="0" fillId="4" borderId="0" xfId="1" applyNumberFormat="1" applyFont="1" applyFill="1" applyProtection="1"/>
    <xf numFmtId="44" fontId="0" fillId="4" borderId="0" xfId="0" applyNumberFormat="1" applyFill="1" applyProtection="1"/>
    <xf numFmtId="166" fontId="0" fillId="4" borderId="0" xfId="0" applyNumberFormat="1" applyFill="1" applyProtection="1"/>
    <xf numFmtId="0" fontId="0" fillId="4" borderId="0" xfId="0" applyFill="1" applyProtection="1"/>
    <xf numFmtId="0" fontId="0" fillId="0" borderId="0" xfId="0"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2" fontId="0" fillId="0" borderId="0" xfId="0" applyNumberFormat="1"/>
    <xf numFmtId="0" fontId="0" fillId="0" borderId="0" xfId="0" applyNumberFormat="1"/>
    <xf numFmtId="20" fontId="0" fillId="0" borderId="0" xfId="0" applyNumberFormat="1"/>
    <xf numFmtId="0" fontId="4" fillId="0" borderId="0" xfId="0" applyFont="1"/>
    <xf numFmtId="2" fontId="4" fillId="0" borderId="0" xfId="0" applyNumberFormat="1" applyFont="1"/>
    <xf numFmtId="1" fontId="4" fillId="0" borderId="0" xfId="0" applyNumberFormat="1" applyFont="1"/>
    <xf numFmtId="0" fontId="0" fillId="4" borderId="0" xfId="0" applyFill="1" applyProtection="1">
      <protection locked="0"/>
    </xf>
    <xf numFmtId="1" fontId="4" fillId="6" borderId="0" xfId="0" applyNumberFormat="1" applyFont="1" applyFill="1"/>
    <xf numFmtId="0" fontId="0" fillId="6" borderId="0" xfId="0" applyFill="1"/>
    <xf numFmtId="20" fontId="0" fillId="6" borderId="0" xfId="0" applyNumberFormat="1" applyFill="1"/>
    <xf numFmtId="9" fontId="4" fillId="6" borderId="0" xfId="2" applyFont="1" applyFill="1"/>
    <xf numFmtId="9" fontId="5" fillId="6" borderId="0" xfId="2" applyFont="1" applyFill="1"/>
    <xf numFmtId="168" fontId="0" fillId="6" borderId="0" xfId="0" applyNumberFormat="1" applyFill="1"/>
    <xf numFmtId="0" fontId="0" fillId="2" borderId="0" xfId="0" quotePrefix="1" applyFill="1" applyProtection="1">
      <protection locked="0"/>
    </xf>
    <xf numFmtId="9" fontId="0" fillId="6" borderId="0" xfId="2" applyFont="1" applyFill="1"/>
    <xf numFmtId="0" fontId="2" fillId="6" borderId="0" xfId="0" applyFont="1" applyFill="1" applyAlignment="1">
      <alignment horizontal="center"/>
    </xf>
    <xf numFmtId="0" fontId="2" fillId="6" borderId="0" xfId="0" quotePrefix="1" applyFont="1" applyFill="1" applyAlignment="1">
      <alignment horizontal="center"/>
    </xf>
    <xf numFmtId="9" fontId="2" fillId="6" borderId="0" xfId="2" applyFont="1" applyFill="1"/>
    <xf numFmtId="44" fontId="2" fillId="0" borderId="0" xfId="1" applyFont="1"/>
    <xf numFmtId="0" fontId="7" fillId="5" borderId="0" xfId="0" applyFont="1" applyFill="1" applyAlignment="1">
      <alignment horizontal="center" vertical="center"/>
    </xf>
    <xf numFmtId="167" fontId="7" fillId="5" borderId="0" xfId="0" applyNumberFormat="1" applyFont="1" applyFill="1" applyAlignment="1">
      <alignment horizontal="center" vertical="center"/>
    </xf>
    <xf numFmtId="164" fontId="7" fillId="5" borderId="0" xfId="0" applyNumberFormat="1" applyFont="1" applyFill="1" applyAlignment="1">
      <alignment horizontal="center" vertical="center"/>
    </xf>
    <xf numFmtId="0" fontId="7" fillId="5" borderId="0" xfId="0" applyFont="1" applyFill="1"/>
    <xf numFmtId="169" fontId="7" fillId="5" borderId="0" xfId="0" applyNumberFormat="1" applyFont="1" applyFill="1" applyAlignment="1">
      <alignment horizontal="center"/>
    </xf>
    <xf numFmtId="169" fontId="2" fillId="0" borderId="0" xfId="0" applyNumberFormat="1" applyFont="1" applyAlignment="1">
      <alignment horizontal="center"/>
    </xf>
    <xf numFmtId="0" fontId="0" fillId="0" borderId="0" xfId="0" applyAlignment="1">
      <alignment horizontal="left" vertical="top" wrapText="1"/>
    </xf>
    <xf numFmtId="0" fontId="0" fillId="6" borderId="0" xfId="0" applyFill="1" applyBorder="1"/>
    <xf numFmtId="2" fontId="0" fillId="6" borderId="0" xfId="0" applyNumberFormat="1" applyFill="1" applyBorder="1"/>
    <xf numFmtId="0" fontId="2" fillId="6" borderId="0" xfId="0" applyNumberFormat="1" applyFont="1" applyFill="1" applyBorder="1"/>
    <xf numFmtId="20" fontId="0" fillId="6" borderId="0" xfId="0" applyNumberFormat="1" applyFill="1" applyBorder="1"/>
    <xf numFmtId="9" fontId="8" fillId="6" borderId="0" xfId="2" applyFont="1" applyFill="1" applyAlignment="1">
      <alignment horizontal="center"/>
    </xf>
    <xf numFmtId="169" fontId="9" fillId="0" borderId="0" xfId="0" applyNumberFormat="1" applyFont="1"/>
    <xf numFmtId="1" fontId="0" fillId="3" borderId="0" xfId="0" applyNumberFormat="1" applyFill="1" applyProtection="1">
      <protection locked="0"/>
    </xf>
    <xf numFmtId="44" fontId="0" fillId="4" borderId="0" xfId="0" applyNumberFormat="1" applyFill="1"/>
    <xf numFmtId="0" fontId="7" fillId="5" borderId="0" xfId="0" applyFont="1" applyFill="1" applyAlignment="1">
      <alignment horizontal="center"/>
    </xf>
    <xf numFmtId="0" fontId="0" fillId="0" borderId="0" xfId="0" applyAlignment="1">
      <alignment horizontal="center" vertical="center"/>
    </xf>
    <xf numFmtId="0" fontId="0" fillId="6" borderId="0" xfId="0" applyNumberFormat="1" applyFill="1" applyBorder="1"/>
    <xf numFmtId="2" fontId="0" fillId="6" borderId="0" xfId="0" applyNumberFormat="1" applyFill="1"/>
    <xf numFmtId="9" fontId="4" fillId="6" borderId="0" xfId="2" applyFont="1" applyFill="1" applyAlignment="1">
      <alignment horizontal="center"/>
    </xf>
    <xf numFmtId="1" fontId="0" fillId="3" borderId="0" xfId="0" applyNumberFormat="1" applyFill="1"/>
    <xf numFmtId="1" fontId="0" fillId="3" borderId="0" xfId="0" applyNumberFormat="1" applyFill="1" applyProtection="1"/>
    <xf numFmtId="0" fontId="0" fillId="4" borderId="0" xfId="0" applyNumberFormat="1" applyFill="1"/>
    <xf numFmtId="1" fontId="0" fillId="4" borderId="0" xfId="0" applyNumberFormat="1" applyFill="1" applyProtection="1"/>
    <xf numFmtId="0" fontId="0" fillId="4" borderId="0" xfId="0" applyNumberFormat="1" applyFill="1" applyProtection="1"/>
    <xf numFmtId="44" fontId="0" fillId="4" borderId="0" xfId="1" applyFont="1" applyFill="1" applyProtection="1"/>
    <xf numFmtId="169" fontId="0" fillId="0" borderId="0" xfId="0" quotePrefix="1"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wrapText="1"/>
    </xf>
    <xf numFmtId="0" fontId="2" fillId="0" borderId="0" xfId="0" applyFont="1" applyAlignment="1">
      <alignment horizontal="center" vertical="center"/>
    </xf>
    <xf numFmtId="0" fontId="2" fillId="0" borderId="0" xfId="0" applyFont="1" applyAlignment="1">
      <alignment wrapText="1"/>
    </xf>
    <xf numFmtId="0" fontId="0" fillId="0" borderId="0" xfId="0" applyFont="1" applyAlignment="1">
      <alignment horizontal="center" vertical="center"/>
    </xf>
    <xf numFmtId="0" fontId="0" fillId="0" borderId="0" xfId="0" applyFont="1" applyAlignment="1">
      <alignment wrapText="1"/>
    </xf>
    <xf numFmtId="0" fontId="0" fillId="2" borderId="0" xfId="0" applyFill="1" applyProtection="1"/>
    <xf numFmtId="169" fontId="0" fillId="5" borderId="0" xfId="0" applyNumberFormat="1" applyFill="1"/>
    <xf numFmtId="0" fontId="0" fillId="5" borderId="0" xfId="0" applyFill="1"/>
    <xf numFmtId="0" fontId="0" fillId="0" borderId="0" xfId="0" applyFill="1"/>
    <xf numFmtId="169" fontId="0" fillId="0" borderId="0" xfId="0" applyNumberFormat="1" applyFill="1" applyAlignment="1">
      <alignment horizontal="center" vertical="center"/>
    </xf>
    <xf numFmtId="169" fontId="4" fillId="0" borderId="0" xfId="0" applyNumberFormat="1" applyFont="1" applyFill="1" applyAlignment="1">
      <alignment horizontal="center"/>
    </xf>
    <xf numFmtId="1" fontId="0" fillId="0" borderId="0" xfId="0" applyNumberFormat="1"/>
    <xf numFmtId="0" fontId="0" fillId="0" borderId="0" xfId="0" applyAlignment="1">
      <alignment horizontal="center" vertical="center"/>
    </xf>
    <xf numFmtId="0" fontId="0" fillId="0" borderId="0" xfId="0" applyAlignment="1">
      <alignment horizontal="center" vertical="center"/>
    </xf>
    <xf numFmtId="0" fontId="12" fillId="0" borderId="0" xfId="3" applyAlignment="1">
      <alignment wrapText="1"/>
    </xf>
    <xf numFmtId="0" fontId="0" fillId="0" borderId="0" xfId="0" applyAlignment="1">
      <alignment horizontal="center" vertical="center"/>
    </xf>
    <xf numFmtId="9" fontId="2" fillId="6" borderId="0" xfId="2" applyFont="1" applyFill="1" applyAlignment="1">
      <alignment horizontal="left"/>
    </xf>
    <xf numFmtId="0" fontId="0" fillId="6" borderId="0" xfId="0" applyFill="1" applyAlignment="1">
      <alignment horizontal="left"/>
    </xf>
    <xf numFmtId="0" fontId="0" fillId="0" borderId="0" xfId="0" applyAlignment="1">
      <alignment horizontal="center" vertical="center"/>
    </xf>
    <xf numFmtId="0" fontId="0" fillId="0" borderId="0" xfId="0" applyAlignment="1">
      <alignment horizontal="center" vertical="center" wrapText="1"/>
    </xf>
    <xf numFmtId="168" fontId="0" fillId="0" borderId="0" xfId="0" quotePrefix="1" applyNumberFormat="1" applyAlignment="1">
      <alignment horizontal="left" vertical="center" wrapText="1"/>
    </xf>
    <xf numFmtId="164" fontId="0" fillId="0" borderId="0" xfId="0" applyNumberFormat="1" applyAlignment="1">
      <alignment horizontal="center" vertical="center"/>
    </xf>
    <xf numFmtId="166" fontId="0" fillId="0" borderId="0" xfId="0" applyNumberFormat="1" applyAlignment="1">
      <alignment horizontal="center" vertical="center" wrapText="1"/>
    </xf>
    <xf numFmtId="166" fontId="0" fillId="0" borderId="0" xfId="0" applyNumberFormat="1" applyAlignment="1">
      <alignment horizontal="center" vertical="center"/>
    </xf>
    <xf numFmtId="168" fontId="0" fillId="0" borderId="0" xfId="0" applyNumberFormat="1" applyAlignment="1">
      <alignment horizontal="center" vertical="center"/>
    </xf>
    <xf numFmtId="0" fontId="0" fillId="0" borderId="0" xfId="0" applyAlignment="1">
      <alignment horizontal="center"/>
    </xf>
    <xf numFmtId="0" fontId="0" fillId="0" borderId="0" xfId="2" applyNumberFormat="1" applyFont="1" applyAlignment="1">
      <alignment horizontal="center"/>
    </xf>
    <xf numFmtId="165" fontId="0" fillId="0" borderId="0" xfId="1" applyNumberFormat="1" applyFont="1" applyAlignment="1"/>
  </cellXfs>
  <cellStyles count="4">
    <cellStyle name="Currency" xfId="1" builtinId="4"/>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10</xdr:row>
          <xdr:rowOff>19050</xdr:rowOff>
        </xdr:from>
        <xdr:to>
          <xdr:col>4</xdr:col>
          <xdr:colOff>466725</xdr:colOff>
          <xdr:row>11</xdr:row>
          <xdr:rowOff>161925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Hour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12</xdr:row>
          <xdr:rowOff>38100</xdr:rowOff>
        </xdr:from>
        <xdr:to>
          <xdr:col>4</xdr:col>
          <xdr:colOff>457200</xdr:colOff>
          <xdr:row>13</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Percentage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14</xdr:row>
          <xdr:rowOff>76200</xdr:rowOff>
        </xdr:from>
        <xdr:to>
          <xdr:col>4</xdr:col>
          <xdr:colOff>457200</xdr:colOff>
          <xdr:row>16</xdr:row>
          <xdr:rowOff>28575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Current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hyperlink" Target="mailto:bagitconsultingllc@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38265-7A58-45B0-99C0-226DA73A83A2}">
  <sheetPr codeName="Sheet9"/>
  <dimension ref="A2:G23"/>
  <sheetViews>
    <sheetView tabSelected="1" workbookViewId="0"/>
  </sheetViews>
  <sheetFormatPr defaultRowHeight="15" x14ac:dyDescent="0.25"/>
  <cols>
    <col min="1" max="1" width="9.140625" style="21" customWidth="1"/>
    <col min="2" max="2" width="8.42578125" bestFit="1" customWidth="1"/>
    <col min="3" max="3" width="6.140625" bestFit="1" customWidth="1"/>
    <col min="4" max="4" width="4.85546875" bestFit="1" customWidth="1"/>
    <col min="5" max="5" width="9.7109375" bestFit="1" customWidth="1"/>
    <col min="6" max="6" width="8.7109375" bestFit="1" customWidth="1"/>
    <col min="7" max="7" width="8" bestFit="1" customWidth="1"/>
  </cols>
  <sheetData>
    <row r="2" spans="1:7" x14ac:dyDescent="0.25">
      <c r="A2" s="100"/>
      <c r="B2" s="63" t="s">
        <v>17</v>
      </c>
      <c r="C2" s="64" t="s">
        <v>19</v>
      </c>
      <c r="D2" s="65" t="s">
        <v>0</v>
      </c>
      <c r="E2" s="66" t="s">
        <v>38</v>
      </c>
      <c r="F2" s="66" t="s">
        <v>39</v>
      </c>
      <c r="G2" s="78" t="s">
        <v>52</v>
      </c>
    </row>
    <row r="3" spans="1:7" x14ac:dyDescent="0.25">
      <c r="A3" s="67" t="s">
        <v>51</v>
      </c>
      <c r="B3" s="8">
        <f>SUM(B9:B12)</f>
        <v>563</v>
      </c>
      <c r="C3" s="8">
        <f>SUM(C9:C12)</f>
        <v>156</v>
      </c>
      <c r="D3" s="8">
        <f>SUM(D9:D12)</f>
        <v>230.392</v>
      </c>
      <c r="E3" s="62">
        <f>SUM(E9:E12)</f>
        <v>19.360833230769231</v>
      </c>
      <c r="F3" s="62">
        <f>E3/(B3/mpg)</f>
        <v>1.0316607405383249</v>
      </c>
      <c r="G3" s="8">
        <f>SUM(G9:G12)</f>
        <v>15</v>
      </c>
    </row>
    <row r="4" spans="1:7" x14ac:dyDescent="0.25">
      <c r="A4" s="100"/>
      <c r="B4" s="101"/>
      <c r="C4" s="101"/>
      <c r="D4" s="101"/>
      <c r="E4" s="101"/>
      <c r="F4" s="101"/>
      <c r="G4" s="101"/>
    </row>
    <row r="5" spans="1:7" x14ac:dyDescent="0.25">
      <c r="B5" s="102"/>
      <c r="C5" s="102"/>
      <c r="D5" s="102"/>
      <c r="E5" s="102"/>
      <c r="F5" s="102"/>
      <c r="G5" s="102"/>
    </row>
    <row r="6" spans="1:7" x14ac:dyDescent="0.25">
      <c r="A6" s="100"/>
      <c r="B6" s="101"/>
      <c r="C6" s="101"/>
      <c r="D6" s="101"/>
      <c r="E6" s="101"/>
      <c r="F6" s="101"/>
      <c r="G6" s="101"/>
    </row>
    <row r="7" spans="1:7" x14ac:dyDescent="0.25">
      <c r="A7" s="100"/>
      <c r="B7" s="101"/>
      <c r="C7" s="101"/>
      <c r="D7" s="101"/>
      <c r="E7" s="101"/>
      <c r="F7" s="101"/>
      <c r="G7" s="101"/>
    </row>
    <row r="8" spans="1:7" x14ac:dyDescent="0.25">
      <c r="A8" s="67" t="s">
        <v>37</v>
      </c>
      <c r="B8" s="63" t="s">
        <v>17</v>
      </c>
      <c r="C8" s="64" t="s">
        <v>19</v>
      </c>
      <c r="D8" s="65" t="s">
        <v>0</v>
      </c>
      <c r="E8" s="66" t="s">
        <v>38</v>
      </c>
      <c r="F8" s="66" t="s">
        <v>39</v>
      </c>
      <c r="G8" s="78" t="s">
        <v>52</v>
      </c>
    </row>
    <row r="9" spans="1:7" x14ac:dyDescent="0.25">
      <c r="A9" s="103">
        <v>45261</v>
      </c>
      <c r="B9">
        <f>'Charging_Log-2023-12'!K2</f>
        <v>262</v>
      </c>
      <c r="C9">
        <f>'Charging_Log-2023-12'!L2</f>
        <v>71</v>
      </c>
      <c r="D9">
        <f>'Charging_Log-2023-12'!M2</f>
        <v>91</v>
      </c>
      <c r="E9" s="11">
        <f>'Charging_Log-2023-12'!P2</f>
        <v>8.3767692307692307</v>
      </c>
      <c r="F9" s="11">
        <f>'Charging_Log-2023-12'!R2</f>
        <v>0.95917204932472111</v>
      </c>
      <c r="G9">
        <v>7</v>
      </c>
    </row>
    <row r="10" spans="1:7" x14ac:dyDescent="0.25">
      <c r="A10" s="104">
        <v>45313</v>
      </c>
      <c r="B10">
        <f>'Charging_Log-2024-1'!$K$2</f>
        <v>301</v>
      </c>
      <c r="C10" s="105">
        <f>'Charging_Log-2024-1'!$L$2</f>
        <v>85</v>
      </c>
      <c r="D10" s="105">
        <f>'Charging_Log-2024-1'!$M$2</f>
        <v>139.392</v>
      </c>
      <c r="E10" s="11">
        <f>'Charging_Log-2024-1'!$P$2</f>
        <v>10.984064</v>
      </c>
      <c r="F10" s="11">
        <f>'Charging_Log-2024-1'!$R$2</f>
        <v>1.0947572093023255</v>
      </c>
      <c r="G10">
        <f>'Charging_Log-2024-1'!$S$2</f>
        <v>8</v>
      </c>
    </row>
    <row r="15" spans="1:7" x14ac:dyDescent="0.25">
      <c r="A15" s="75" t="str">
        <f>"Note : Cost/Gal assumes " &amp; mpg &amp; " mpg."</f>
        <v>Note : Cost/Gal assumes 30 mpg.</v>
      </c>
    </row>
    <row r="16" spans="1:7" x14ac:dyDescent="0.25">
      <c r="A16" s="89" t="s">
        <v>88</v>
      </c>
    </row>
    <row r="23" spans="1:1" x14ac:dyDescent="0.25">
      <c r="A23" s="6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12362-29AB-446A-9A50-E7949FB1702F}">
  <sheetPr codeName="Sheet3"/>
  <dimension ref="A1:N22"/>
  <sheetViews>
    <sheetView workbookViewId="0">
      <selection sqref="A1:C1"/>
    </sheetView>
  </sheetViews>
  <sheetFormatPr defaultRowHeight="15" x14ac:dyDescent="0.25"/>
  <cols>
    <col min="1" max="1" width="4.85546875" customWidth="1"/>
    <col min="2" max="2" width="7.140625" bestFit="1" customWidth="1"/>
    <col min="3" max="3" width="4.85546875" bestFit="1" customWidth="1"/>
    <col min="4" max="4" width="7.140625" bestFit="1" customWidth="1"/>
    <col min="5" max="5" width="7.140625" customWidth="1"/>
    <col min="6" max="6" width="7.5703125" bestFit="1" customWidth="1"/>
    <col min="7" max="7" width="6.140625" bestFit="1" customWidth="1"/>
    <col min="8" max="8" width="5.7109375" customWidth="1"/>
    <col min="9" max="10" width="19.42578125" bestFit="1" customWidth="1"/>
    <col min="11" max="11" width="5.7109375" customWidth="1"/>
    <col min="12" max="12" width="12.5703125" hidden="1" customWidth="1"/>
    <col min="13" max="13" width="6" hidden="1" customWidth="1"/>
    <col min="14" max="14" width="8.5703125" hidden="1" customWidth="1"/>
  </cols>
  <sheetData>
    <row r="1" spans="1:14" x14ac:dyDescent="0.25">
      <c r="A1" s="111"/>
      <c r="B1" s="111"/>
      <c r="C1" s="111"/>
      <c r="D1" s="59" t="s">
        <v>17</v>
      </c>
      <c r="E1" s="60" t="s">
        <v>50</v>
      </c>
      <c r="F1" s="52"/>
      <c r="G1" s="52"/>
      <c r="H1" s="52"/>
      <c r="I1" s="52"/>
      <c r="J1" s="52"/>
    </row>
    <row r="2" spans="1:14" x14ac:dyDescent="0.25">
      <c r="A2" s="110" t="s">
        <v>49</v>
      </c>
      <c r="B2" s="110"/>
      <c r="C2" s="110"/>
      <c r="D2">
        <v>154</v>
      </c>
      <c r="E2" s="82">
        <f>D2/M6</f>
        <v>0.46808510638297873</v>
      </c>
      <c r="F2" s="52"/>
      <c r="G2" s="52"/>
      <c r="H2" s="52"/>
      <c r="I2" s="52"/>
      <c r="J2" s="52"/>
    </row>
    <row r="3" spans="1:14" ht="14.25" customHeight="1" x14ac:dyDescent="0.25">
      <c r="A3" s="110" t="s">
        <v>20</v>
      </c>
      <c r="B3" s="110"/>
      <c r="C3" s="110"/>
      <c r="D3">
        <v>566</v>
      </c>
      <c r="E3" s="52"/>
      <c r="F3" s="52"/>
      <c r="G3" s="55"/>
      <c r="H3" s="52"/>
      <c r="I3" s="52"/>
      <c r="J3" s="52"/>
      <c r="L3" t="s">
        <v>59</v>
      </c>
    </row>
    <row r="4" spans="1:14" ht="14.25" customHeight="1" x14ac:dyDescent="0.25">
      <c r="A4" s="61"/>
      <c r="B4" s="52"/>
      <c r="C4" s="52"/>
      <c r="D4" s="55"/>
      <c r="E4" s="52"/>
      <c r="F4" s="52"/>
      <c r="G4" s="52"/>
      <c r="H4" s="52"/>
      <c r="I4" s="52"/>
      <c r="J4" s="52"/>
      <c r="L4" s="47" t="s">
        <v>57</v>
      </c>
      <c r="M4" s="47">
        <v>5</v>
      </c>
      <c r="N4" t="s">
        <v>58</v>
      </c>
    </row>
    <row r="5" spans="1:14" ht="14.25" customHeight="1" x14ac:dyDescent="0.25">
      <c r="A5" s="52"/>
      <c r="B5" s="61"/>
      <c r="C5" s="52"/>
      <c r="D5" s="59" t="s">
        <v>17</v>
      </c>
      <c r="E5" s="59" t="s">
        <v>0</v>
      </c>
      <c r="F5" s="60" t="s">
        <v>50</v>
      </c>
      <c r="G5" s="74" t="s">
        <v>19</v>
      </c>
      <c r="H5" s="52"/>
      <c r="I5" s="59" t="s">
        <v>47</v>
      </c>
      <c r="J5" s="59" t="s">
        <v>48</v>
      </c>
      <c r="L5" s="47" t="s">
        <v>45</v>
      </c>
      <c r="M5" s="48">
        <v>82</v>
      </c>
      <c r="N5" s="47" t="s">
        <v>0</v>
      </c>
    </row>
    <row r="6" spans="1:14" x14ac:dyDescent="0.25">
      <c r="A6">
        <v>12</v>
      </c>
      <c r="B6" s="61" t="s">
        <v>53</v>
      </c>
      <c r="C6" s="52"/>
      <c r="D6" s="51">
        <f>D2+((G6*24)*M4)</f>
        <v>214</v>
      </c>
      <c r="E6" s="51">
        <f>$M$22*G6*24</f>
        <v>17.399999999999999</v>
      </c>
      <c r="F6" s="58">
        <f>D6/M6</f>
        <v>0.65045592705167177</v>
      </c>
      <c r="G6" s="53">
        <f>A6/24</f>
        <v>0.5</v>
      </c>
      <c r="H6" s="52"/>
      <c r="I6" s="56">
        <f ca="1">TODAY()+(21/24)</f>
        <v>45323.875</v>
      </c>
      <c r="J6" s="56">
        <f ca="1">I6+G6</f>
        <v>45324.375</v>
      </c>
      <c r="L6" s="47" t="s">
        <v>46</v>
      </c>
      <c r="M6" s="49">
        <v>329</v>
      </c>
    </row>
    <row r="7" spans="1:14" x14ac:dyDescent="0.25">
      <c r="A7" s="45">
        <v>80</v>
      </c>
      <c r="B7" s="61" t="s">
        <v>54</v>
      </c>
      <c r="C7" s="52"/>
      <c r="D7" s="51">
        <f>M6*(A7/100)</f>
        <v>263.2</v>
      </c>
      <c r="E7" s="51">
        <f>$M$22*G7*24</f>
        <v>31.667999999999992</v>
      </c>
      <c r="F7" s="54">
        <f>A7/100</f>
        <v>0.8</v>
      </c>
      <c r="G7" s="53">
        <f>((D7-D2)/M4)/24</f>
        <v>0.90999999999999981</v>
      </c>
      <c r="H7" s="52"/>
      <c r="I7" s="56">
        <f ca="1">TODAY()+(21/24)</f>
        <v>45323.875</v>
      </c>
      <c r="J7" s="56">
        <f ca="1">I7+G7</f>
        <v>45324.785000000003</v>
      </c>
      <c r="L7" s="47" t="s">
        <v>84</v>
      </c>
      <c r="M7">
        <v>566</v>
      </c>
      <c r="N7" t="s">
        <v>83</v>
      </c>
    </row>
    <row r="8" spans="1:14" x14ac:dyDescent="0.25">
      <c r="A8" s="58"/>
      <c r="B8" s="52"/>
      <c r="C8" s="51"/>
      <c r="D8" s="52"/>
      <c r="E8" s="52"/>
      <c r="F8" s="52"/>
      <c r="G8" s="52"/>
      <c r="H8" s="58"/>
      <c r="I8" s="52"/>
      <c r="J8" s="52"/>
    </row>
    <row r="9" spans="1:14" x14ac:dyDescent="0.25">
      <c r="A9" s="10"/>
      <c r="C9" s="46"/>
      <c r="E9" s="45"/>
      <c r="F9" s="45"/>
      <c r="G9" s="45"/>
      <c r="L9" s="47" t="s">
        <v>60</v>
      </c>
    </row>
    <row r="10" spans="1:14" x14ac:dyDescent="0.25">
      <c r="B10" s="70"/>
      <c r="C10" s="70"/>
      <c r="D10" s="71"/>
      <c r="E10" s="71"/>
      <c r="F10" s="71"/>
      <c r="L10" s="47" t="s">
        <v>61</v>
      </c>
      <c r="M10">
        <v>30</v>
      </c>
      <c r="N10" t="s">
        <v>55</v>
      </c>
    </row>
    <row r="11" spans="1:14" x14ac:dyDescent="0.25">
      <c r="A11" s="10"/>
      <c r="B11" s="70"/>
      <c r="C11" s="70"/>
      <c r="D11" s="72"/>
      <c r="E11" s="72"/>
      <c r="F11" s="80"/>
    </row>
    <row r="12" spans="1:14" x14ac:dyDescent="0.25">
      <c r="A12" s="10"/>
      <c r="B12" s="70"/>
      <c r="C12" s="70"/>
      <c r="D12" s="70"/>
      <c r="E12" s="70"/>
      <c r="F12" s="71"/>
      <c r="L12" s="47" t="s">
        <v>62</v>
      </c>
    </row>
    <row r="13" spans="1:14" x14ac:dyDescent="0.25">
      <c r="A13" s="10"/>
      <c r="B13" s="70"/>
      <c r="C13" s="73"/>
      <c r="D13" s="71"/>
      <c r="E13" s="71"/>
      <c r="F13" s="71"/>
      <c r="L13" t="s">
        <v>56</v>
      </c>
      <c r="M13" s="12">
        <f>M6/M5</f>
        <v>4.0121951219512191</v>
      </c>
    </row>
    <row r="14" spans="1:14" x14ac:dyDescent="0.25">
      <c r="B14" s="70"/>
      <c r="C14" s="70"/>
      <c r="D14" s="70"/>
      <c r="E14" s="70"/>
      <c r="F14" s="70"/>
      <c r="L14" t="s">
        <v>68</v>
      </c>
      <c r="M14" s="12">
        <f>M4/M13</f>
        <v>1.2462006079027357</v>
      </c>
    </row>
    <row r="15" spans="1:14" x14ac:dyDescent="0.25">
      <c r="B15" s="70"/>
      <c r="C15" s="70"/>
      <c r="D15" s="70"/>
      <c r="E15" s="70"/>
      <c r="F15" s="70"/>
    </row>
    <row r="16" spans="1:14" x14ac:dyDescent="0.25">
      <c r="A16" s="10"/>
      <c r="B16" s="81"/>
      <c r="C16" s="81"/>
      <c r="D16" s="81"/>
      <c r="E16" s="81"/>
      <c r="F16" s="81"/>
      <c r="L16" t="s">
        <v>63</v>
      </c>
    </row>
    <row r="17" spans="1:13" x14ac:dyDescent="0.25">
      <c r="A17" s="10"/>
      <c r="B17" s="81"/>
      <c r="C17" s="81"/>
      <c r="D17" s="81"/>
      <c r="E17" s="81"/>
      <c r="F17" s="81"/>
      <c r="L17" s="47" t="s">
        <v>43</v>
      </c>
      <c r="M17" s="47">
        <v>12</v>
      </c>
    </row>
    <row r="18" spans="1:13" x14ac:dyDescent="0.25">
      <c r="A18" s="10"/>
      <c r="B18" s="44"/>
      <c r="C18" s="44"/>
      <c r="D18" s="44"/>
      <c r="E18" s="44"/>
      <c r="F18" s="44"/>
      <c r="L18" s="47" t="s">
        <v>44</v>
      </c>
      <c r="M18" s="47">
        <v>110</v>
      </c>
    </row>
    <row r="19" spans="1:13" x14ac:dyDescent="0.25">
      <c r="A19" s="10"/>
      <c r="B19" s="44"/>
      <c r="C19" s="44"/>
      <c r="D19" s="44"/>
      <c r="E19" s="44"/>
      <c r="F19" s="44"/>
      <c r="L19" s="47" t="s">
        <v>68</v>
      </c>
      <c r="M19" s="47">
        <f>(M17*M18)/1000</f>
        <v>1.32</v>
      </c>
    </row>
    <row r="20" spans="1:13" x14ac:dyDescent="0.25">
      <c r="A20" s="89" t="s">
        <v>88</v>
      </c>
      <c r="B20" s="44"/>
      <c r="C20" s="44"/>
      <c r="D20" s="44"/>
      <c r="E20" s="44"/>
      <c r="F20" s="44"/>
    </row>
    <row r="21" spans="1:13" x14ac:dyDescent="0.25">
      <c r="L21" s="47" t="s">
        <v>86</v>
      </c>
    </row>
    <row r="22" spans="1:13" x14ac:dyDescent="0.25">
      <c r="L22" s="47" t="s">
        <v>87</v>
      </c>
      <c r="M22">
        <v>1.45</v>
      </c>
    </row>
  </sheetData>
  <mergeCells count="3">
    <mergeCell ref="A2:C2"/>
    <mergeCell ref="A3:C3"/>
    <mergeCell ref="A1:C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Button_Hour_Click">
                <anchor moveWithCells="1" sizeWithCells="1">
                  <from>
                    <xdr:col>2</xdr:col>
                    <xdr:colOff>19050</xdr:colOff>
                    <xdr:row>10</xdr:row>
                    <xdr:rowOff>19050</xdr:rowOff>
                  </from>
                  <to>
                    <xdr:col>4</xdr:col>
                    <xdr:colOff>466725</xdr:colOff>
                    <xdr:row>11</xdr:row>
                    <xdr:rowOff>161925</xdr:rowOff>
                  </to>
                </anchor>
              </controlPr>
            </control>
          </mc:Choice>
        </mc:AlternateContent>
        <mc:AlternateContent xmlns:mc="http://schemas.openxmlformats.org/markup-compatibility/2006">
          <mc:Choice Requires="x14">
            <control shapeId="1030" r:id="rId5" name="Button 6">
              <controlPr defaultSize="0" print="0" autoFill="0" autoPict="0" macro="[0]!Button_Perc_Click">
                <anchor moveWithCells="1" sizeWithCells="1">
                  <from>
                    <xdr:col>2</xdr:col>
                    <xdr:colOff>9525</xdr:colOff>
                    <xdr:row>12</xdr:row>
                    <xdr:rowOff>38100</xdr:rowOff>
                  </from>
                  <to>
                    <xdr:col>4</xdr:col>
                    <xdr:colOff>457200</xdr:colOff>
                    <xdr:row>13</xdr:row>
                    <xdr:rowOff>180975</xdr:rowOff>
                  </to>
                </anchor>
              </controlPr>
            </control>
          </mc:Choice>
        </mc:AlternateContent>
        <mc:AlternateContent xmlns:mc="http://schemas.openxmlformats.org/markup-compatibility/2006">
          <mc:Choice Requires="x14">
            <control shapeId="1035" r:id="rId6" name="Button 11">
              <controlPr defaultSize="0" print="0" autoFill="0" autoPict="0" macro="[0]!Button_Clear_Click">
                <anchor moveWithCells="1" sizeWithCells="1">
                  <from>
                    <xdr:col>2</xdr:col>
                    <xdr:colOff>9525</xdr:colOff>
                    <xdr:row>14</xdr:row>
                    <xdr:rowOff>76200</xdr:rowOff>
                  </from>
                  <to>
                    <xdr:col>4</xdr:col>
                    <xdr:colOff>457200</xdr:colOff>
                    <xdr:row>16</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8D3E8-2860-4253-8B5F-23F2F44AD006}">
  <sheetPr codeName="Sheet2"/>
  <dimension ref="A1:X44"/>
  <sheetViews>
    <sheetView zoomScaleNormal="100" workbookViewId="0"/>
  </sheetViews>
  <sheetFormatPr defaultRowHeight="15" x14ac:dyDescent="0.25"/>
  <cols>
    <col min="1" max="1" width="6.28515625" customWidth="1"/>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hidden="1" customWidth="1"/>
    <col min="21" max="21" width="10.85546875" hidden="1" customWidth="1"/>
    <col min="22" max="22" width="12.5703125" hidden="1" customWidth="1"/>
    <col min="23" max="23" width="9.5703125" hidden="1" customWidth="1"/>
    <col min="24" max="24" width="9.7109375" hidden="1" customWidth="1"/>
  </cols>
  <sheetData>
    <row r="1" spans="1:24" ht="30" x14ac:dyDescent="0.25">
      <c r="K1" s="42" t="s">
        <v>17</v>
      </c>
      <c r="L1" s="20" t="s">
        <v>19</v>
      </c>
      <c r="M1" s="43" t="s">
        <v>0</v>
      </c>
      <c r="P1" s="41" t="s">
        <v>35</v>
      </c>
      <c r="R1" s="41" t="str">
        <f>"Cost
(per " &amp; mpg &amp; " miles)"</f>
        <v>Cost
(per 30 miles)</v>
      </c>
      <c r="S1" s="79" t="s">
        <v>52</v>
      </c>
    </row>
    <row r="2" spans="1:24" x14ac:dyDescent="0.25">
      <c r="B2" s="16" t="s">
        <v>34</v>
      </c>
      <c r="K2" s="24">
        <f>SUM(K6:K36)</f>
        <v>301</v>
      </c>
      <c r="L2" s="25">
        <f>SUM(L6:L36)</f>
        <v>85</v>
      </c>
      <c r="M2" s="25">
        <f>SUM(M6:M36)</f>
        <v>139.392</v>
      </c>
      <c r="P2" s="26">
        <f>SUM(P6:P36)</f>
        <v>10.984064</v>
      </c>
      <c r="R2" s="26">
        <f>(P2/K2)*mpg</f>
        <v>1.0947572093023255</v>
      </c>
      <c r="S2" s="24">
        <f>MAX(S6:S36)</f>
        <v>8</v>
      </c>
    </row>
    <row r="4" spans="1:24" x14ac:dyDescent="0.25">
      <c r="B4" s="118" t="s">
        <v>1</v>
      </c>
      <c r="C4" s="118" t="s">
        <v>18</v>
      </c>
      <c r="D4" s="119" t="s">
        <v>20</v>
      </c>
      <c r="E4" s="119"/>
      <c r="F4" s="120" t="s">
        <v>21</v>
      </c>
      <c r="G4" s="120"/>
      <c r="H4" s="119" t="s">
        <v>22</v>
      </c>
      <c r="I4" s="119"/>
      <c r="J4" s="119"/>
      <c r="K4" s="113" t="s">
        <v>17</v>
      </c>
      <c r="L4" s="112" t="s">
        <v>19</v>
      </c>
      <c r="M4" s="115" t="s">
        <v>0</v>
      </c>
      <c r="N4" s="116" t="s">
        <v>27</v>
      </c>
      <c r="O4" s="116" t="s">
        <v>26</v>
      </c>
      <c r="P4" s="113" t="s">
        <v>30</v>
      </c>
      <c r="Q4" s="113" t="s">
        <v>29</v>
      </c>
      <c r="R4" s="113" t="str">
        <f>"Cost
(per " &amp; mpg &amp; "  miles)"</f>
        <v>Cost
(per 30  miles)</v>
      </c>
      <c r="S4" s="112" t="s">
        <v>52</v>
      </c>
    </row>
    <row r="5" spans="1:24" x14ac:dyDescent="0.25">
      <c r="B5" s="118"/>
      <c r="C5" s="118"/>
      <c r="D5" s="7" t="s">
        <v>23</v>
      </c>
      <c r="E5" s="7" t="s">
        <v>24</v>
      </c>
      <c r="F5" s="9" t="s">
        <v>23</v>
      </c>
      <c r="G5" s="9" t="s">
        <v>24</v>
      </c>
      <c r="H5" s="7" t="s">
        <v>23</v>
      </c>
      <c r="I5" s="7" t="s">
        <v>24</v>
      </c>
      <c r="J5" s="7" t="s">
        <v>28</v>
      </c>
      <c r="K5" s="113"/>
      <c r="L5" s="112"/>
      <c r="M5" s="115"/>
      <c r="N5" s="117"/>
      <c r="O5" s="117"/>
      <c r="P5" s="112"/>
      <c r="Q5" s="112"/>
      <c r="R5" s="112"/>
      <c r="S5" s="112"/>
      <c r="T5" t="s">
        <v>64</v>
      </c>
      <c r="U5" t="s">
        <v>65</v>
      </c>
      <c r="V5" t="s">
        <v>66</v>
      </c>
      <c r="W5" t="s">
        <v>67</v>
      </c>
      <c r="X5" t="s">
        <v>38</v>
      </c>
    </row>
    <row r="6" spans="1:24" x14ac:dyDescent="0.25">
      <c r="A6">
        <v>1</v>
      </c>
      <c r="B6" s="29">
        <v>45292.875</v>
      </c>
      <c r="C6" s="30">
        <v>45293.375</v>
      </c>
      <c r="D6" s="32">
        <v>277</v>
      </c>
      <c r="E6" s="32">
        <v>333</v>
      </c>
      <c r="F6" s="33">
        <v>0.47</v>
      </c>
      <c r="G6" s="34">
        <v>0.65</v>
      </c>
      <c r="H6" s="57">
        <v>155</v>
      </c>
      <c r="I6" s="35">
        <v>215</v>
      </c>
      <c r="J6" s="25">
        <f>I6-H6</f>
        <v>60</v>
      </c>
      <c r="K6" s="24">
        <f t="shared" ref="K6:K11" si="0">E6-D6</f>
        <v>56</v>
      </c>
      <c r="L6" s="25">
        <f>(C6-B6)*24</f>
        <v>12</v>
      </c>
      <c r="M6" s="83">
        <v>17</v>
      </c>
      <c r="N6" s="37">
        <f>Rates!$C$8</f>
        <v>9.1999999999999998E-2</v>
      </c>
      <c r="O6" s="37">
        <f>Rates!$C$10</f>
        <v>9.4E-2</v>
      </c>
      <c r="P6" s="38">
        <f>SUM(V6,W6)</f>
        <v>1.5640000000000001</v>
      </c>
      <c r="Q6" s="38">
        <f t="shared" ref="Q6" si="1">P6/K6</f>
        <v>2.7928571428571431E-2</v>
      </c>
      <c r="R6" s="38">
        <f t="shared" ref="R6:R11" si="2">Q6*mpg</f>
        <v>0.83785714285714297</v>
      </c>
      <c r="S6" s="24">
        <f>IF(NOT(LEN(B6)=0),A6,0)</f>
        <v>1</v>
      </c>
      <c r="T6" s="85">
        <f>IF(L6&lt;=Rates!$G$15,L6,Rates!$G$15)</f>
        <v>12</v>
      </c>
      <c r="U6" s="25">
        <f>IF(L6-Rates!F$15&lt;0,0,L6-Rates!$G$15)</f>
        <v>0</v>
      </c>
      <c r="V6" s="26">
        <f>((M6/L6)*T6)*N6</f>
        <v>1.5640000000000001</v>
      </c>
      <c r="W6" s="26">
        <f>((M6/L6)*U6)*O6</f>
        <v>0</v>
      </c>
      <c r="X6" s="77">
        <f>SUM(V6:W6)</f>
        <v>1.5640000000000001</v>
      </c>
    </row>
    <row r="7" spans="1:24" x14ac:dyDescent="0.25">
      <c r="A7">
        <v>2</v>
      </c>
      <c r="B7" s="29">
        <v>45313.875</v>
      </c>
      <c r="C7" s="30">
        <v>45314.375</v>
      </c>
      <c r="D7" s="99">
        <v>333</v>
      </c>
      <c r="E7" s="32">
        <v>366</v>
      </c>
      <c r="F7" s="33">
        <v>0.46808510638297873</v>
      </c>
      <c r="G7" s="34">
        <v>0.65045592705167177</v>
      </c>
      <c r="H7" s="57">
        <v>154</v>
      </c>
      <c r="I7" s="35">
        <v>214</v>
      </c>
      <c r="J7" s="86">
        <f>I7-H7</f>
        <v>60</v>
      </c>
      <c r="K7" s="40">
        <f t="shared" ref="K7" si="3">E7-D7</f>
        <v>33</v>
      </c>
      <c r="L7" s="86">
        <f>(C7-B7)*24</f>
        <v>12</v>
      </c>
      <c r="M7" s="83">
        <v>17.399999999999999</v>
      </c>
      <c r="N7" s="37">
        <f>Rates!$C$8</f>
        <v>9.1999999999999998E-2</v>
      </c>
      <c r="O7" s="37">
        <f>Rates!$C$10</f>
        <v>9.4E-2</v>
      </c>
      <c r="P7" s="38">
        <f>SUM(V7,W7)</f>
        <v>1.6007999999999998</v>
      </c>
      <c r="Q7" s="38">
        <f t="shared" ref="Q7" si="4">P7/K7</f>
        <v>4.8509090909090904E-2</v>
      </c>
      <c r="R7" s="38">
        <f t="shared" ref="R7" si="5">Q7*mpg</f>
        <v>1.4552727272727271</v>
      </c>
      <c r="S7" s="40">
        <f>IF(NOT(LEN(B7)=0),A7,0)</f>
        <v>2</v>
      </c>
      <c r="T7" s="87">
        <f>IF(L7&lt;=Rates!$G$15,L7,Rates!$G$15)</f>
        <v>12</v>
      </c>
      <c r="U7" s="86">
        <f>IF(L7-Rates!F$15&lt;0,0,L7-Rates!$G$15)</f>
        <v>0</v>
      </c>
      <c r="V7" s="88">
        <f>((M7/L7)*T7)*N7</f>
        <v>1.6007999999999998</v>
      </c>
      <c r="W7" s="88">
        <f>((M7/L7)*U7)*O7</f>
        <v>0</v>
      </c>
      <c r="X7" s="38">
        <f>SUM(V7:W7)</f>
        <v>1.6007999999999998</v>
      </c>
    </row>
    <row r="8" spans="1:24" x14ac:dyDescent="0.25">
      <c r="A8">
        <v>3</v>
      </c>
      <c r="B8" s="29">
        <v>45297.875</v>
      </c>
      <c r="C8" s="30">
        <v>45298.375</v>
      </c>
      <c r="D8" s="99">
        <f t="shared" ref="D8:D12" si="6">E7</f>
        <v>366</v>
      </c>
      <c r="E8" s="32">
        <v>393</v>
      </c>
      <c r="F8" s="36">
        <v>0.5696969696969697</v>
      </c>
      <c r="G8" s="34">
        <v>0.75151515151515147</v>
      </c>
      <c r="H8" s="32">
        <v>188</v>
      </c>
      <c r="I8" s="35">
        <v>248</v>
      </c>
      <c r="J8" s="25">
        <f>I8-H8</f>
        <v>60</v>
      </c>
      <c r="K8" s="24">
        <f t="shared" si="0"/>
        <v>27</v>
      </c>
      <c r="L8" s="25">
        <f t="shared" ref="L8:L11" si="7">(C8-B8)*24</f>
        <v>12</v>
      </c>
      <c r="M8" s="84">
        <v>17</v>
      </c>
      <c r="N8" s="37">
        <f>Rates!$C$8</f>
        <v>9.1999999999999998E-2</v>
      </c>
      <c r="O8" s="37">
        <f>Rates!$C$10</f>
        <v>9.4E-2</v>
      </c>
      <c r="P8" s="38">
        <f t="shared" ref="P8:P11" si="8">SUM(V8,W8)</f>
        <v>1.5640000000000001</v>
      </c>
      <c r="Q8" s="38">
        <f t="shared" ref="Q8:Q11" si="9">P8/K8</f>
        <v>5.7925925925925929E-2</v>
      </c>
      <c r="R8" s="38">
        <f t="shared" si="2"/>
        <v>1.7377777777777779</v>
      </c>
      <c r="S8" s="24">
        <f t="shared" ref="S8:S11" si="10">IF(NOT(LEN(B8)=0),A8,0)</f>
        <v>3</v>
      </c>
      <c r="T8" s="85">
        <f>IF(L8&lt;=Rates!$G$15,L8,Rates!$G$15)</f>
        <v>12</v>
      </c>
      <c r="U8" s="25">
        <f>IF(L8-Rates!F$15&lt;0,0,L8-Rates!$G$15)</f>
        <v>0</v>
      </c>
      <c r="V8" s="26">
        <f t="shared" ref="V8:V11" si="11">((M8/L8)*T8)*N8</f>
        <v>1.5640000000000001</v>
      </c>
      <c r="W8" s="26">
        <f t="shared" ref="W8:W11" si="12">((M8/L8)*U8)*O8</f>
        <v>0</v>
      </c>
      <c r="X8" s="77">
        <f t="shared" ref="X8:X11" si="13">SUM(V8:W8)</f>
        <v>1.5640000000000001</v>
      </c>
    </row>
    <row r="9" spans="1:24" x14ac:dyDescent="0.25">
      <c r="A9">
        <v>4</v>
      </c>
      <c r="B9" s="29">
        <v>45301.875</v>
      </c>
      <c r="C9" s="30">
        <v>45302.375</v>
      </c>
      <c r="D9" s="99">
        <f t="shared" si="6"/>
        <v>393</v>
      </c>
      <c r="E9" s="32">
        <v>446</v>
      </c>
      <c r="F9" s="36">
        <v>0.51212121212121209</v>
      </c>
      <c r="G9" s="34">
        <v>0.7</v>
      </c>
      <c r="H9" s="32">
        <v>169</v>
      </c>
      <c r="I9" s="35">
        <v>229</v>
      </c>
      <c r="J9" s="25">
        <f>I9-H9</f>
        <v>60</v>
      </c>
      <c r="K9" s="24">
        <f t="shared" si="0"/>
        <v>53</v>
      </c>
      <c r="L9" s="25">
        <f t="shared" si="7"/>
        <v>12</v>
      </c>
      <c r="M9" s="84">
        <v>17</v>
      </c>
      <c r="N9" s="37">
        <f>Rates!$C$8</f>
        <v>9.1999999999999998E-2</v>
      </c>
      <c r="O9" s="37">
        <f>Rates!$C$10</f>
        <v>9.4E-2</v>
      </c>
      <c r="P9" s="38">
        <f t="shared" si="8"/>
        <v>1.5640000000000001</v>
      </c>
      <c r="Q9" s="38">
        <f t="shared" si="9"/>
        <v>2.9509433962264152E-2</v>
      </c>
      <c r="R9" s="38">
        <f t="shared" si="2"/>
        <v>0.8852830188679246</v>
      </c>
      <c r="S9" s="24">
        <f t="shared" si="10"/>
        <v>4</v>
      </c>
      <c r="T9" s="85">
        <f>IF(L9&lt;=Rates!$G$15,L9,Rates!$G$15)</f>
        <v>12</v>
      </c>
      <c r="U9" s="25">
        <f>IF(L9-Rates!F$15&lt;0,0,L9-Rates!$G$15)</f>
        <v>0</v>
      </c>
      <c r="V9" s="26">
        <f t="shared" si="11"/>
        <v>1.5640000000000001</v>
      </c>
      <c r="W9" s="26">
        <f t="shared" si="12"/>
        <v>0</v>
      </c>
      <c r="X9" s="77">
        <f t="shared" si="13"/>
        <v>1.5640000000000001</v>
      </c>
    </row>
    <row r="10" spans="1:24" x14ac:dyDescent="0.25">
      <c r="A10">
        <v>5</v>
      </c>
      <c r="B10" s="29">
        <v>45302.875</v>
      </c>
      <c r="C10" s="30">
        <v>45303.375</v>
      </c>
      <c r="D10" s="99">
        <f t="shared" si="6"/>
        <v>446</v>
      </c>
      <c r="E10" s="32">
        <v>491</v>
      </c>
      <c r="F10" s="36">
        <v>0.51212121212121209</v>
      </c>
      <c r="G10" s="34">
        <v>0.7</v>
      </c>
      <c r="H10" s="32">
        <v>169</v>
      </c>
      <c r="I10" s="35">
        <v>229</v>
      </c>
      <c r="J10" s="25">
        <f>I10-H10</f>
        <v>60</v>
      </c>
      <c r="K10" s="24">
        <f t="shared" si="0"/>
        <v>45</v>
      </c>
      <c r="L10" s="25">
        <f t="shared" si="7"/>
        <v>12</v>
      </c>
      <c r="M10" s="84">
        <v>17</v>
      </c>
      <c r="N10" s="37">
        <f>Rates!$C$8</f>
        <v>9.1999999999999998E-2</v>
      </c>
      <c r="O10" s="37">
        <f>Rates!$C$10</f>
        <v>9.4E-2</v>
      </c>
      <c r="P10" s="38">
        <f t="shared" si="8"/>
        <v>1.5640000000000001</v>
      </c>
      <c r="Q10" s="38">
        <f t="shared" si="9"/>
        <v>3.4755555555555553E-2</v>
      </c>
      <c r="R10" s="38">
        <f t="shared" si="2"/>
        <v>1.0426666666666666</v>
      </c>
      <c r="S10" s="24">
        <f t="shared" si="10"/>
        <v>5</v>
      </c>
      <c r="T10" s="85">
        <f>IF(L10&lt;=Rates!$G$15,L10,Rates!$G$15)</f>
        <v>12</v>
      </c>
      <c r="U10" s="25">
        <f>IF(L10-Rates!F$15&lt;0,0,L10-Rates!$G$15)</f>
        <v>0</v>
      </c>
      <c r="V10" s="26">
        <f t="shared" si="11"/>
        <v>1.5640000000000001</v>
      </c>
      <c r="W10" s="26">
        <f t="shared" si="12"/>
        <v>0</v>
      </c>
      <c r="X10" s="77">
        <f t="shared" si="13"/>
        <v>1.5640000000000001</v>
      </c>
    </row>
    <row r="11" spans="1:24" x14ac:dyDescent="0.25">
      <c r="A11">
        <v>6</v>
      </c>
      <c r="B11" s="29">
        <v>45307.875</v>
      </c>
      <c r="C11" s="30">
        <v>45308.375</v>
      </c>
      <c r="D11" s="99">
        <f t="shared" si="6"/>
        <v>491</v>
      </c>
      <c r="E11" s="32">
        <v>522</v>
      </c>
      <c r="F11" s="36">
        <v>0.49393939393939396</v>
      </c>
      <c r="G11" s="34">
        <v>0.68</v>
      </c>
      <c r="H11" s="32">
        <v>163</v>
      </c>
      <c r="I11" s="35">
        <v>223</v>
      </c>
      <c r="J11" s="25">
        <f t="shared" ref="J11" si="14">I11-H11</f>
        <v>60</v>
      </c>
      <c r="K11" s="24">
        <f t="shared" si="0"/>
        <v>31</v>
      </c>
      <c r="L11" s="25">
        <f t="shared" si="7"/>
        <v>12</v>
      </c>
      <c r="M11" s="76">
        <v>17</v>
      </c>
      <c r="N11" s="37">
        <v>9.1999999999999998E-2</v>
      </c>
      <c r="O11" s="37">
        <v>9.4E-2</v>
      </c>
      <c r="P11" s="38">
        <f t="shared" si="8"/>
        <v>1.5640000000000001</v>
      </c>
      <c r="Q11" s="77">
        <f t="shared" si="9"/>
        <v>5.0451612903225806E-2</v>
      </c>
      <c r="R11" s="38">
        <f t="shared" si="2"/>
        <v>1.5135483870967743</v>
      </c>
      <c r="S11" s="24">
        <f t="shared" si="10"/>
        <v>6</v>
      </c>
      <c r="T11" s="85">
        <f>IF(L11&lt;=Rates!$G$15,L11,Rates!$G$15)</f>
        <v>12</v>
      </c>
      <c r="U11" s="25">
        <f>IF(L11-Rates!F$15&lt;0,0,L11-Rates!$G$15)</f>
        <v>0</v>
      </c>
      <c r="V11" s="26">
        <f t="shared" si="11"/>
        <v>1.5640000000000001</v>
      </c>
      <c r="W11" s="26">
        <f t="shared" si="12"/>
        <v>0</v>
      </c>
      <c r="X11" s="77">
        <f t="shared" si="13"/>
        <v>1.5640000000000001</v>
      </c>
    </row>
    <row r="12" spans="1:24" x14ac:dyDescent="0.25">
      <c r="A12">
        <v>7</v>
      </c>
      <c r="B12" s="29">
        <v>45312.875</v>
      </c>
      <c r="C12" s="30">
        <v>45313.375</v>
      </c>
      <c r="D12" s="99">
        <f t="shared" si="6"/>
        <v>522</v>
      </c>
      <c r="E12" s="32">
        <v>566</v>
      </c>
      <c r="F12" s="36">
        <v>0.46808510638297873</v>
      </c>
      <c r="G12" s="34">
        <v>0.65045592705167177</v>
      </c>
      <c r="H12" s="32">
        <v>154</v>
      </c>
      <c r="I12" s="35">
        <v>215</v>
      </c>
      <c r="J12" s="86">
        <f t="shared" ref="J12:J13" si="15">I12-H12</f>
        <v>61</v>
      </c>
      <c r="K12" s="40">
        <f t="shared" ref="K12:K13" si="16">E12-D12</f>
        <v>44</v>
      </c>
      <c r="L12" s="86">
        <f t="shared" ref="L12" si="17">(C12-B12)*24</f>
        <v>12</v>
      </c>
      <c r="M12" s="76">
        <v>16.991999999999997</v>
      </c>
      <c r="N12" s="37">
        <v>9.1999999999999998E-2</v>
      </c>
      <c r="O12" s="37">
        <v>9.4E-2</v>
      </c>
      <c r="P12" s="38">
        <f t="shared" ref="P12:P13" si="18">SUM(V12,W12)</f>
        <v>1.5632639999999998</v>
      </c>
      <c r="Q12" s="38">
        <f t="shared" ref="Q12:Q13" si="19">P12/K12</f>
        <v>3.5528727272727267E-2</v>
      </c>
      <c r="R12" s="38">
        <f t="shared" ref="R12:R13" si="20">Q12*mpg</f>
        <v>1.065861818181818</v>
      </c>
      <c r="S12" s="40">
        <f t="shared" ref="S12:S13" si="21">IF(NOT(LEN(B12)=0),A12,0)</f>
        <v>7</v>
      </c>
      <c r="T12" s="87">
        <f>IF(L12&lt;=Rates!$G$15,L12,Rates!$G$15)</f>
        <v>12</v>
      </c>
      <c r="U12" s="86">
        <f>IF(L12-Rates!F$15&lt;0,0,L12-Rates!$G$15)</f>
        <v>0</v>
      </c>
      <c r="V12" s="88">
        <f t="shared" ref="V12" si="22">((M12/L12)*T12)*N12</f>
        <v>1.5632639999999998</v>
      </c>
      <c r="W12" s="88">
        <f t="shared" ref="W12" si="23">((M12/L12)*U12)*O12</f>
        <v>0</v>
      </c>
      <c r="X12" s="38">
        <f t="shared" ref="X12" si="24">SUM(V12:W12)</f>
        <v>1.5632639999999998</v>
      </c>
    </row>
    <row r="13" spans="1:24" x14ac:dyDescent="0.25">
      <c r="A13">
        <v>8</v>
      </c>
      <c r="B13" s="29">
        <v>45314.636111111111</v>
      </c>
      <c r="C13" s="30">
        <v>45314.65625</v>
      </c>
      <c r="D13" s="32">
        <v>566</v>
      </c>
      <c r="E13" s="32">
        <v>578</v>
      </c>
      <c r="F13" s="36">
        <v>0.59</v>
      </c>
      <c r="G13" s="34">
        <v>0.8</v>
      </c>
      <c r="H13" s="32">
        <v>193</v>
      </c>
      <c r="I13" s="35">
        <v>265</v>
      </c>
      <c r="J13" s="86">
        <f t="shared" si="15"/>
        <v>72</v>
      </c>
      <c r="K13" s="40">
        <f t="shared" si="16"/>
        <v>12</v>
      </c>
      <c r="L13" s="86">
        <v>1</v>
      </c>
      <c r="M13" s="76">
        <v>20</v>
      </c>
      <c r="N13" s="37">
        <v>0</v>
      </c>
      <c r="O13" s="37">
        <v>0</v>
      </c>
      <c r="P13" s="38">
        <f t="shared" si="18"/>
        <v>0</v>
      </c>
      <c r="Q13" s="38">
        <f t="shared" si="19"/>
        <v>0</v>
      </c>
      <c r="R13" s="38">
        <f t="shared" si="20"/>
        <v>0</v>
      </c>
      <c r="S13" s="40">
        <f t="shared" si="21"/>
        <v>8</v>
      </c>
      <c r="T13" s="87"/>
      <c r="U13" s="86"/>
      <c r="V13" s="88"/>
      <c r="W13" s="88"/>
      <c r="X13" s="38"/>
    </row>
    <row r="14" spans="1:24" x14ac:dyDescent="0.25">
      <c r="A14">
        <v>9</v>
      </c>
      <c r="B14" s="29"/>
      <c r="C14" s="30"/>
      <c r="D14" s="99"/>
      <c r="E14" s="32"/>
      <c r="F14" s="36"/>
      <c r="G14" s="34"/>
      <c r="H14" s="32"/>
      <c r="I14" s="35"/>
      <c r="J14" s="86"/>
      <c r="K14" s="40"/>
      <c r="L14" s="86"/>
      <c r="M14" s="76"/>
      <c r="N14" s="37"/>
      <c r="O14" s="37"/>
      <c r="P14" s="38"/>
      <c r="Q14" s="38"/>
      <c r="R14" s="38"/>
      <c r="S14" s="40"/>
      <c r="T14" s="87"/>
      <c r="U14" s="86"/>
      <c r="V14" s="88"/>
      <c r="W14" s="88"/>
      <c r="X14" s="38"/>
    </row>
    <row r="15" spans="1:24" x14ac:dyDescent="0.25">
      <c r="A15">
        <v>10</v>
      </c>
      <c r="B15" s="29"/>
      <c r="C15" s="30"/>
      <c r="D15" s="99"/>
      <c r="E15" s="32"/>
      <c r="F15" s="36"/>
      <c r="G15" s="34"/>
      <c r="H15" s="32"/>
      <c r="I15" s="35"/>
      <c r="J15" s="86"/>
      <c r="K15" s="40"/>
      <c r="L15" s="86"/>
      <c r="M15" s="76"/>
      <c r="N15" s="37"/>
      <c r="O15" s="37"/>
      <c r="P15" s="38"/>
      <c r="Q15" s="38"/>
      <c r="R15" s="38"/>
      <c r="S15" s="40"/>
      <c r="T15" s="87"/>
      <c r="U15" s="86"/>
      <c r="V15" s="88"/>
      <c r="W15" s="88"/>
      <c r="X15" s="38"/>
    </row>
    <row r="16" spans="1:24" x14ac:dyDescent="0.25">
      <c r="A16">
        <v>11</v>
      </c>
      <c r="B16" s="29"/>
      <c r="C16" s="30"/>
      <c r="D16" s="99"/>
      <c r="E16" s="32"/>
      <c r="F16" s="36"/>
      <c r="G16" s="34"/>
      <c r="H16" s="32"/>
      <c r="I16" s="35"/>
      <c r="J16" s="86"/>
      <c r="K16" s="40"/>
      <c r="L16" s="86"/>
      <c r="M16" s="76"/>
      <c r="N16" s="37"/>
      <c r="O16" s="37"/>
      <c r="P16" s="38"/>
      <c r="Q16" s="38"/>
      <c r="R16" s="38"/>
      <c r="S16" s="40"/>
      <c r="T16" s="87"/>
      <c r="U16" s="86"/>
      <c r="V16" s="88"/>
      <c r="W16" s="88"/>
      <c r="X16" s="38"/>
    </row>
    <row r="17" spans="1:24" x14ac:dyDescent="0.25">
      <c r="A17">
        <v>12</v>
      </c>
      <c r="B17" s="29"/>
      <c r="C17" s="30"/>
      <c r="D17" s="99"/>
      <c r="E17" s="32"/>
      <c r="F17" s="36"/>
      <c r="G17" s="34"/>
      <c r="H17" s="32"/>
      <c r="I17" s="35"/>
      <c r="J17" s="86"/>
      <c r="K17" s="40"/>
      <c r="L17" s="86"/>
      <c r="M17" s="76"/>
      <c r="N17" s="37"/>
      <c r="O17" s="37"/>
      <c r="P17" s="38"/>
      <c r="Q17" s="38"/>
      <c r="R17" s="38"/>
      <c r="S17" s="40"/>
      <c r="T17" s="87"/>
      <c r="U17" s="86"/>
      <c r="V17" s="88"/>
      <c r="W17" s="88"/>
      <c r="X17" s="38"/>
    </row>
    <row r="18" spans="1:24" x14ac:dyDescent="0.25">
      <c r="A18">
        <v>13</v>
      </c>
      <c r="B18" s="29"/>
      <c r="C18" s="30"/>
      <c r="D18" s="32"/>
      <c r="E18" s="32"/>
      <c r="F18" s="36"/>
      <c r="G18" s="34"/>
      <c r="H18" s="32"/>
      <c r="I18" s="35"/>
      <c r="J18" s="24"/>
      <c r="K18" s="24"/>
      <c r="L18" s="28"/>
      <c r="M18" s="76"/>
      <c r="N18" s="39"/>
      <c r="O18" s="39"/>
      <c r="P18" s="40"/>
      <c r="Q18" s="40"/>
      <c r="R18" s="40"/>
      <c r="S18" s="24"/>
      <c r="T18" s="24"/>
      <c r="U18" s="24"/>
      <c r="V18" s="24"/>
      <c r="W18" s="24"/>
      <c r="X18" s="24"/>
    </row>
    <row r="19" spans="1:24" x14ac:dyDescent="0.25">
      <c r="A19">
        <v>14</v>
      </c>
      <c r="B19" s="29"/>
      <c r="C19" s="30"/>
      <c r="D19" s="32"/>
      <c r="E19" s="32"/>
      <c r="F19" s="36"/>
      <c r="G19" s="34"/>
      <c r="H19" s="32"/>
      <c r="I19" s="35"/>
      <c r="J19" s="24"/>
      <c r="K19" s="24"/>
      <c r="L19" s="28"/>
      <c r="M19" s="76"/>
      <c r="N19" s="39"/>
      <c r="O19" s="39"/>
      <c r="P19" s="40"/>
      <c r="Q19" s="40"/>
      <c r="R19" s="38"/>
      <c r="S19" s="24"/>
      <c r="T19" s="24"/>
      <c r="U19" s="24"/>
      <c r="V19" s="24"/>
      <c r="W19" s="24"/>
      <c r="X19" s="24"/>
    </row>
    <row r="20" spans="1:24" x14ac:dyDescent="0.25">
      <c r="A20">
        <v>15</v>
      </c>
      <c r="B20" s="29"/>
      <c r="C20" s="30"/>
      <c r="D20" s="32"/>
      <c r="E20" s="32"/>
      <c r="F20" s="36"/>
      <c r="G20" s="34"/>
      <c r="H20" s="32"/>
      <c r="I20" s="35"/>
      <c r="J20" s="24"/>
      <c r="K20" s="24"/>
      <c r="L20" s="28"/>
      <c r="M20" s="76"/>
      <c r="N20" s="39"/>
      <c r="O20" s="39"/>
      <c r="P20" s="40"/>
      <c r="Q20" s="40"/>
      <c r="R20" s="40"/>
      <c r="S20" s="24"/>
      <c r="T20" s="24"/>
      <c r="U20" s="24"/>
      <c r="V20" s="24"/>
      <c r="W20" s="24"/>
      <c r="X20" s="24"/>
    </row>
    <row r="21" spans="1:24" x14ac:dyDescent="0.25">
      <c r="A21">
        <v>16</v>
      </c>
      <c r="B21" s="29"/>
      <c r="C21" s="30"/>
      <c r="D21" s="32"/>
      <c r="E21" s="32"/>
      <c r="F21" s="36"/>
      <c r="G21" s="34"/>
      <c r="H21" s="32"/>
      <c r="I21" s="35"/>
      <c r="J21" s="24"/>
      <c r="K21" s="24"/>
      <c r="L21" s="28"/>
      <c r="M21" s="76"/>
      <c r="N21" s="39"/>
      <c r="O21" s="39"/>
      <c r="P21" s="40"/>
      <c r="Q21" s="40"/>
      <c r="R21" s="40"/>
      <c r="S21" s="24"/>
      <c r="T21" s="24"/>
      <c r="U21" s="24"/>
      <c r="V21" s="85"/>
      <c r="W21" s="24"/>
      <c r="X21" s="24"/>
    </row>
    <row r="22" spans="1:24" x14ac:dyDescent="0.25">
      <c r="A22">
        <v>17</v>
      </c>
      <c r="B22" s="29"/>
      <c r="C22" s="30"/>
      <c r="D22" s="32"/>
      <c r="E22" s="32"/>
      <c r="F22" s="36"/>
      <c r="G22" s="34"/>
      <c r="H22" s="32"/>
      <c r="I22" s="35"/>
      <c r="J22" s="24"/>
      <c r="K22" s="24"/>
      <c r="L22" s="28"/>
      <c r="M22" s="76"/>
      <c r="N22" s="39"/>
      <c r="O22" s="39"/>
      <c r="P22" s="40"/>
      <c r="Q22" s="40"/>
      <c r="R22" s="40"/>
      <c r="S22" s="24"/>
      <c r="T22" s="24"/>
      <c r="U22" s="24"/>
      <c r="V22" s="24"/>
      <c r="W22" s="24"/>
      <c r="X22" s="24"/>
    </row>
    <row r="23" spans="1:24" x14ac:dyDescent="0.25">
      <c r="A23">
        <v>18</v>
      </c>
      <c r="B23" s="29"/>
      <c r="C23" s="30"/>
      <c r="D23" s="32"/>
      <c r="E23" s="32"/>
      <c r="F23" s="36"/>
      <c r="G23" s="34"/>
      <c r="H23" s="32"/>
      <c r="I23" s="35"/>
      <c r="J23" s="24"/>
      <c r="K23" s="24"/>
      <c r="L23" s="28"/>
      <c r="M23" s="76"/>
      <c r="N23" s="39"/>
      <c r="O23" s="39"/>
      <c r="P23" s="40"/>
      <c r="Q23" s="40"/>
      <c r="R23" s="40"/>
      <c r="S23" s="24"/>
      <c r="T23" s="24"/>
      <c r="U23" s="24"/>
      <c r="V23" s="24"/>
      <c r="W23" s="24"/>
      <c r="X23" s="24"/>
    </row>
    <row r="24" spans="1:24" x14ac:dyDescent="0.25">
      <c r="A24">
        <v>19</v>
      </c>
      <c r="B24" s="29"/>
      <c r="C24" s="30"/>
      <c r="D24" s="32"/>
      <c r="E24" s="32"/>
      <c r="F24" s="36"/>
      <c r="G24" s="34"/>
      <c r="H24" s="32"/>
      <c r="I24" s="35"/>
      <c r="J24" s="24"/>
      <c r="K24" s="24"/>
      <c r="L24" s="28"/>
      <c r="M24" s="76"/>
      <c r="N24" s="39"/>
      <c r="O24" s="39"/>
      <c r="P24" s="40"/>
      <c r="Q24" s="40"/>
      <c r="R24" s="40"/>
      <c r="S24" s="24"/>
      <c r="T24" s="24"/>
      <c r="U24" s="24"/>
      <c r="V24" s="24"/>
      <c r="W24" s="24"/>
      <c r="X24" s="24"/>
    </row>
    <row r="25" spans="1:24" x14ac:dyDescent="0.25">
      <c r="A25">
        <v>20</v>
      </c>
      <c r="B25" s="29"/>
      <c r="C25" s="30"/>
      <c r="D25" s="32"/>
      <c r="E25" s="32"/>
      <c r="F25" s="36"/>
      <c r="G25" s="34"/>
      <c r="H25" s="32"/>
      <c r="I25" s="35"/>
      <c r="J25" s="24"/>
      <c r="K25" s="24"/>
      <c r="L25" s="28"/>
      <c r="M25" s="76"/>
      <c r="N25" s="39"/>
      <c r="O25" s="39"/>
      <c r="P25" s="40"/>
      <c r="Q25" s="40"/>
      <c r="R25" s="40"/>
      <c r="S25" s="24"/>
      <c r="T25" s="24"/>
      <c r="U25" s="24"/>
      <c r="V25" s="24"/>
      <c r="W25" s="24"/>
      <c r="X25" s="24"/>
    </row>
    <row r="26" spans="1:24" x14ac:dyDescent="0.25">
      <c r="A26">
        <v>21</v>
      </c>
      <c r="B26" s="29"/>
      <c r="C26" s="30"/>
      <c r="D26" s="32"/>
      <c r="E26" s="32"/>
      <c r="F26" s="36"/>
      <c r="G26" s="34"/>
      <c r="H26" s="32"/>
      <c r="I26" s="35"/>
      <c r="J26" s="24"/>
      <c r="K26" s="24"/>
      <c r="L26" s="28"/>
      <c r="M26" s="76"/>
      <c r="N26" s="39"/>
      <c r="O26" s="39"/>
      <c r="P26" s="40"/>
      <c r="Q26" s="40"/>
      <c r="R26" s="40"/>
      <c r="S26" s="24"/>
      <c r="T26" s="24"/>
      <c r="U26" s="24"/>
      <c r="V26" s="24"/>
      <c r="W26" s="24"/>
      <c r="X26" s="24"/>
    </row>
    <row r="27" spans="1:24" x14ac:dyDescent="0.25">
      <c r="A27">
        <v>22</v>
      </c>
      <c r="B27" s="29"/>
      <c r="C27" s="30"/>
      <c r="D27" s="32"/>
      <c r="E27" s="32"/>
      <c r="F27" s="36"/>
      <c r="G27" s="34"/>
      <c r="H27" s="32"/>
      <c r="I27" s="35"/>
      <c r="J27" s="24"/>
      <c r="K27" s="24"/>
      <c r="L27" s="28"/>
      <c r="M27" s="76"/>
      <c r="N27" s="39"/>
      <c r="O27" s="39"/>
      <c r="P27" s="40"/>
      <c r="Q27" s="40"/>
      <c r="R27" s="40"/>
      <c r="S27" s="24"/>
      <c r="T27" s="24"/>
      <c r="U27" s="24"/>
      <c r="V27" s="24"/>
      <c r="W27" s="24"/>
      <c r="X27" s="24"/>
    </row>
    <row r="28" spans="1:24" x14ac:dyDescent="0.25">
      <c r="A28">
        <v>23</v>
      </c>
      <c r="B28" s="29"/>
      <c r="C28" s="30"/>
      <c r="D28" s="32"/>
      <c r="E28" s="32"/>
      <c r="F28" s="36"/>
      <c r="G28" s="34"/>
      <c r="H28" s="32"/>
      <c r="I28" s="35"/>
      <c r="J28" s="24"/>
      <c r="K28" s="24"/>
      <c r="L28" s="28"/>
      <c r="M28" s="76"/>
      <c r="N28" s="39"/>
      <c r="O28" s="39"/>
      <c r="P28" s="40"/>
      <c r="Q28" s="40"/>
      <c r="R28" s="40"/>
      <c r="S28" s="24"/>
      <c r="T28" s="24"/>
      <c r="U28" s="24"/>
      <c r="V28" s="24"/>
      <c r="W28" s="24"/>
      <c r="X28" s="24"/>
    </row>
    <row r="29" spans="1:24" x14ac:dyDescent="0.25">
      <c r="A29">
        <v>24</v>
      </c>
      <c r="B29" s="29"/>
      <c r="C29" s="30"/>
      <c r="D29" s="32"/>
      <c r="E29" s="32"/>
      <c r="F29" s="36"/>
      <c r="G29" s="34"/>
      <c r="H29" s="32"/>
      <c r="I29" s="35"/>
      <c r="J29" s="24"/>
      <c r="K29" s="24"/>
      <c r="L29" s="28"/>
      <c r="M29" s="76"/>
      <c r="N29" s="39"/>
      <c r="O29" s="39"/>
      <c r="P29" s="40"/>
      <c r="Q29" s="40"/>
      <c r="R29" s="40"/>
      <c r="S29" s="24"/>
      <c r="T29" s="24"/>
      <c r="U29" s="24"/>
      <c r="V29" s="24"/>
      <c r="W29" s="24"/>
      <c r="X29" s="24"/>
    </row>
    <row r="30" spans="1:24" x14ac:dyDescent="0.25">
      <c r="A30">
        <v>25</v>
      </c>
      <c r="B30" s="29"/>
      <c r="C30" s="30"/>
      <c r="D30" s="32"/>
      <c r="E30" s="32"/>
      <c r="F30" s="36"/>
      <c r="G30" s="34"/>
      <c r="H30" s="32"/>
      <c r="I30" s="35"/>
      <c r="J30" s="24"/>
      <c r="K30" s="24"/>
      <c r="L30" s="28"/>
      <c r="M30" s="76"/>
      <c r="N30" s="39"/>
      <c r="O30" s="39"/>
      <c r="P30" s="40"/>
      <c r="Q30" s="40"/>
      <c r="R30" s="40"/>
      <c r="S30" s="24"/>
      <c r="T30" s="24"/>
      <c r="U30" s="24"/>
      <c r="V30" s="24"/>
      <c r="W30" s="24"/>
      <c r="X30" s="24"/>
    </row>
    <row r="31" spans="1:24" x14ac:dyDescent="0.25">
      <c r="A31">
        <v>26</v>
      </c>
      <c r="B31" s="29"/>
      <c r="C31" s="30"/>
      <c r="D31" s="32"/>
      <c r="E31" s="32"/>
      <c r="F31" s="36"/>
      <c r="G31" s="34"/>
      <c r="H31" s="32"/>
      <c r="I31" s="35"/>
      <c r="J31" s="24"/>
      <c r="K31" s="24"/>
      <c r="L31" s="28"/>
      <c r="M31" s="76"/>
      <c r="N31" s="39"/>
      <c r="O31" s="39"/>
      <c r="P31" s="40"/>
      <c r="Q31" s="40"/>
      <c r="R31" s="40"/>
      <c r="S31" s="24"/>
      <c r="T31" s="24"/>
      <c r="U31" s="24"/>
      <c r="V31" s="24"/>
      <c r="W31" s="24"/>
      <c r="X31" s="24"/>
    </row>
    <row r="32" spans="1:24" x14ac:dyDescent="0.25">
      <c r="A32">
        <v>27</v>
      </c>
      <c r="B32" s="29"/>
      <c r="C32" s="30"/>
      <c r="D32" s="32"/>
      <c r="E32" s="32"/>
      <c r="F32" s="36"/>
      <c r="G32" s="34"/>
      <c r="H32" s="32"/>
      <c r="I32" s="35"/>
      <c r="J32" s="24"/>
      <c r="K32" s="24"/>
      <c r="L32" s="28"/>
      <c r="M32" s="76"/>
      <c r="N32" s="39"/>
      <c r="O32" s="39"/>
      <c r="P32" s="40"/>
      <c r="Q32" s="40"/>
      <c r="R32" s="40"/>
      <c r="S32" s="24"/>
      <c r="T32" s="24"/>
      <c r="U32" s="24"/>
      <c r="V32" s="24"/>
      <c r="W32" s="24"/>
      <c r="X32" s="24"/>
    </row>
    <row r="33" spans="1:24" x14ac:dyDescent="0.25">
      <c r="A33">
        <v>28</v>
      </c>
      <c r="B33" s="29"/>
      <c r="C33" s="30"/>
      <c r="D33" s="32"/>
      <c r="E33" s="32"/>
      <c r="F33" s="36"/>
      <c r="G33" s="34"/>
      <c r="H33" s="32"/>
      <c r="I33" s="35"/>
      <c r="J33" s="24"/>
      <c r="K33" s="24"/>
      <c r="L33" s="28"/>
      <c r="M33" s="76"/>
      <c r="N33" s="39"/>
      <c r="O33" s="39"/>
      <c r="P33" s="40"/>
      <c r="Q33" s="40"/>
      <c r="R33" s="40"/>
      <c r="S33" s="24"/>
      <c r="T33" s="24"/>
      <c r="U33" s="24"/>
      <c r="V33" s="24"/>
      <c r="W33" s="24"/>
      <c r="X33" s="24"/>
    </row>
    <row r="34" spans="1:24" x14ac:dyDescent="0.25">
      <c r="A34">
        <v>29</v>
      </c>
      <c r="B34" s="29"/>
      <c r="C34" s="30"/>
      <c r="D34" s="32"/>
      <c r="E34" s="32"/>
      <c r="F34" s="36"/>
      <c r="G34" s="34"/>
      <c r="H34" s="32"/>
      <c r="I34" s="35"/>
      <c r="J34" s="24"/>
      <c r="K34" s="24"/>
      <c r="L34" s="28"/>
      <c r="M34" s="76"/>
      <c r="N34" s="39"/>
      <c r="O34" s="39"/>
      <c r="P34" s="40"/>
      <c r="Q34" s="40"/>
      <c r="R34" s="40"/>
      <c r="S34" s="24"/>
      <c r="T34" s="24"/>
      <c r="U34" s="24"/>
      <c r="V34" s="24"/>
      <c r="W34" s="24"/>
      <c r="X34" s="24"/>
    </row>
    <row r="35" spans="1:24" x14ac:dyDescent="0.25">
      <c r="A35">
        <v>30</v>
      </c>
      <c r="B35" s="29"/>
      <c r="C35" s="30"/>
      <c r="D35" s="32"/>
      <c r="E35" s="32"/>
      <c r="F35" s="36"/>
      <c r="G35" s="34"/>
      <c r="H35" s="32"/>
      <c r="I35" s="35"/>
      <c r="J35" s="24"/>
      <c r="K35" s="24"/>
      <c r="L35" s="28"/>
      <c r="M35" s="76"/>
      <c r="N35" s="39"/>
      <c r="O35" s="39"/>
      <c r="P35" s="40"/>
      <c r="Q35" s="40"/>
      <c r="R35" s="40"/>
      <c r="S35" s="24"/>
      <c r="T35" s="24"/>
      <c r="U35" s="24"/>
      <c r="V35" s="24"/>
      <c r="W35" s="24"/>
      <c r="X35" s="24"/>
    </row>
    <row r="36" spans="1:24" x14ac:dyDescent="0.25">
      <c r="A36">
        <v>31</v>
      </c>
      <c r="B36" s="29"/>
      <c r="C36" s="30"/>
      <c r="D36" s="32"/>
      <c r="E36" s="32"/>
      <c r="F36" s="36"/>
      <c r="G36" s="34"/>
      <c r="H36" s="32"/>
      <c r="I36" s="35"/>
      <c r="J36" s="24"/>
      <c r="K36" s="24"/>
      <c r="L36" s="28"/>
      <c r="M36" s="76"/>
      <c r="N36" s="39"/>
      <c r="O36" s="39"/>
      <c r="P36" s="40"/>
      <c r="Q36" s="40"/>
      <c r="R36" s="40"/>
      <c r="S36" s="24"/>
      <c r="T36" s="24"/>
      <c r="U36" s="24"/>
      <c r="V36" s="24"/>
      <c r="W36" s="24"/>
      <c r="X36" s="24"/>
    </row>
    <row r="38" spans="1:24" ht="31.5" customHeight="1" x14ac:dyDescent="0.25">
      <c r="B38" s="114" t="s">
        <v>33</v>
      </c>
      <c r="C38" s="114"/>
      <c r="D38" s="114"/>
      <c r="E38" s="114"/>
      <c r="F38" s="114"/>
      <c r="G38" s="114"/>
      <c r="H38" s="114"/>
      <c r="I38" s="114"/>
      <c r="J38" s="114"/>
      <c r="K38" s="114"/>
      <c r="L38" s="114"/>
      <c r="M38" s="114"/>
      <c r="N38" s="114"/>
      <c r="O38" s="114"/>
      <c r="P38" s="114"/>
      <c r="Q38" s="114"/>
      <c r="R38" s="114"/>
    </row>
    <row r="40" spans="1:24" x14ac:dyDescent="0.25">
      <c r="B40" s="23"/>
      <c r="C40" s="16" t="s">
        <v>40</v>
      </c>
    </row>
    <row r="41" spans="1:24" x14ac:dyDescent="0.25">
      <c r="B41" s="22"/>
      <c r="C41" s="16" t="s">
        <v>41</v>
      </c>
    </row>
    <row r="42" spans="1:24" x14ac:dyDescent="0.25">
      <c r="B42" s="27"/>
      <c r="C42" s="16" t="s">
        <v>42</v>
      </c>
    </row>
    <row r="44" spans="1:24" x14ac:dyDescent="0.25">
      <c r="A44" s="89" t="s">
        <v>89</v>
      </c>
    </row>
  </sheetData>
  <mergeCells count="15">
    <mergeCell ref="S4:S5"/>
    <mergeCell ref="R4:R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A42B6-B3AE-4299-AC75-6B089363CE2C}">
  <sheetPr codeName="Sheet5"/>
  <dimension ref="A1:X44"/>
  <sheetViews>
    <sheetView zoomScaleNormal="100" workbookViewId="0">
      <selection activeCell="N6" sqref="N6"/>
    </sheetView>
  </sheetViews>
  <sheetFormatPr defaultRowHeight="15" x14ac:dyDescent="0.25"/>
  <cols>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customWidth="1"/>
    <col min="21" max="21" width="10.85546875" customWidth="1"/>
    <col min="22" max="22" width="12.5703125" customWidth="1"/>
    <col min="23" max="23" width="9.5703125" customWidth="1"/>
    <col min="24" max="24" width="9.7109375" customWidth="1"/>
  </cols>
  <sheetData>
    <row r="1" spans="1:24" ht="30" x14ac:dyDescent="0.25">
      <c r="K1" s="90" t="s">
        <v>17</v>
      </c>
      <c r="L1" s="20" t="s">
        <v>19</v>
      </c>
      <c r="M1" s="92" t="s">
        <v>0</v>
      </c>
      <c r="P1" s="91" t="s">
        <v>35</v>
      </c>
      <c r="R1" s="91" t="str">
        <f>"Cost
(per " &amp; mpg &amp; " miles)"</f>
        <v>Cost
(per 30 miles)</v>
      </c>
      <c r="S1" s="90" t="s">
        <v>52</v>
      </c>
    </row>
    <row r="2" spans="1:24" x14ac:dyDescent="0.25">
      <c r="B2" s="16" t="s">
        <v>34</v>
      </c>
      <c r="K2" s="24"/>
      <c r="L2" s="25"/>
      <c r="M2" s="25"/>
      <c r="P2" s="26"/>
      <c r="R2" s="26"/>
      <c r="S2" s="24"/>
    </row>
    <row r="4" spans="1:24" x14ac:dyDescent="0.25">
      <c r="B4" s="118" t="s">
        <v>1</v>
      </c>
      <c r="C4" s="118" t="s">
        <v>18</v>
      </c>
      <c r="D4" s="119" t="s">
        <v>20</v>
      </c>
      <c r="E4" s="119"/>
      <c r="F4" s="120" t="s">
        <v>21</v>
      </c>
      <c r="G4" s="120"/>
      <c r="H4" s="119" t="s">
        <v>22</v>
      </c>
      <c r="I4" s="119"/>
      <c r="J4" s="119"/>
      <c r="K4" s="113" t="s">
        <v>17</v>
      </c>
      <c r="L4" s="112" t="s">
        <v>19</v>
      </c>
      <c r="M4" s="115" t="s">
        <v>0</v>
      </c>
      <c r="N4" s="116" t="s">
        <v>27</v>
      </c>
      <c r="O4" s="116" t="s">
        <v>26</v>
      </c>
      <c r="P4" s="113" t="s">
        <v>30</v>
      </c>
      <c r="Q4" s="113" t="s">
        <v>29</v>
      </c>
      <c r="R4" s="113" t="str">
        <f>"Cost
(per " &amp; mpg &amp; "  miles)"</f>
        <v>Cost
(per 30  miles)</v>
      </c>
      <c r="S4" s="112" t="s">
        <v>52</v>
      </c>
    </row>
    <row r="5" spans="1:24" x14ac:dyDescent="0.25">
      <c r="B5" s="118"/>
      <c r="C5" s="118"/>
      <c r="D5" s="7" t="s">
        <v>23</v>
      </c>
      <c r="E5" s="7" t="s">
        <v>24</v>
      </c>
      <c r="F5" s="9" t="s">
        <v>23</v>
      </c>
      <c r="G5" s="9" t="s">
        <v>24</v>
      </c>
      <c r="H5" s="7" t="s">
        <v>23</v>
      </c>
      <c r="I5" s="7" t="s">
        <v>24</v>
      </c>
      <c r="J5" s="7" t="s">
        <v>28</v>
      </c>
      <c r="K5" s="113"/>
      <c r="L5" s="112"/>
      <c r="M5" s="115"/>
      <c r="N5" s="117"/>
      <c r="O5" s="117"/>
      <c r="P5" s="112"/>
      <c r="Q5" s="112"/>
      <c r="R5" s="112"/>
      <c r="S5" s="112"/>
      <c r="T5" t="s">
        <v>64</v>
      </c>
      <c r="U5" t="s">
        <v>65</v>
      </c>
      <c r="V5" t="s">
        <v>66</v>
      </c>
      <c r="W5" t="s">
        <v>67</v>
      </c>
      <c r="X5" t="s">
        <v>38</v>
      </c>
    </row>
    <row r="6" spans="1:24" x14ac:dyDescent="0.25">
      <c r="A6">
        <v>1</v>
      </c>
      <c r="B6" s="29"/>
      <c r="C6" s="30"/>
      <c r="D6" s="32"/>
      <c r="E6" s="32"/>
      <c r="F6" s="33"/>
      <c r="G6" s="34"/>
      <c r="H6" s="57"/>
      <c r="I6" s="35"/>
      <c r="J6" s="25"/>
      <c r="K6" s="24"/>
      <c r="L6" s="25"/>
      <c r="M6" s="83"/>
      <c r="N6" s="37"/>
      <c r="O6" s="37"/>
      <c r="P6" s="38"/>
      <c r="Q6" s="38"/>
      <c r="R6" s="38"/>
      <c r="S6" s="24"/>
      <c r="T6" s="85"/>
      <c r="U6" s="25"/>
      <c r="V6" s="26"/>
      <c r="W6" s="26"/>
      <c r="X6" s="77"/>
    </row>
    <row r="7" spans="1:24" x14ac:dyDescent="0.25">
      <c r="A7">
        <v>2</v>
      </c>
      <c r="B7" s="29"/>
      <c r="C7" s="30"/>
      <c r="D7" s="24"/>
      <c r="E7" s="32"/>
      <c r="F7" s="36"/>
      <c r="G7" s="34"/>
      <c r="H7" s="32"/>
      <c r="I7" s="35"/>
      <c r="J7" s="25"/>
      <c r="K7" s="24"/>
      <c r="L7" s="25"/>
      <c r="M7" s="83"/>
      <c r="N7" s="37"/>
      <c r="O7" s="37"/>
      <c r="P7" s="38"/>
      <c r="Q7" s="38"/>
      <c r="R7" s="38"/>
      <c r="S7" s="24"/>
      <c r="T7" s="85"/>
      <c r="U7" s="25"/>
      <c r="V7" s="26"/>
      <c r="W7" s="26"/>
      <c r="X7" s="77"/>
    </row>
    <row r="8" spans="1:24" x14ac:dyDescent="0.25">
      <c r="A8">
        <v>3</v>
      </c>
      <c r="B8" s="29"/>
      <c r="C8" s="30"/>
      <c r="D8" s="40"/>
      <c r="E8" s="32"/>
      <c r="F8" s="36"/>
      <c r="G8" s="34"/>
      <c r="H8" s="32"/>
      <c r="I8" s="35"/>
      <c r="J8" s="25"/>
      <c r="K8" s="24"/>
      <c r="L8" s="25"/>
      <c r="M8" s="84"/>
      <c r="N8" s="37"/>
      <c r="O8" s="37"/>
      <c r="P8" s="38"/>
      <c r="Q8" s="38"/>
      <c r="R8" s="38"/>
      <c r="S8" s="24"/>
      <c r="T8" s="85"/>
      <c r="U8" s="25"/>
      <c r="V8" s="26"/>
      <c r="W8" s="26"/>
      <c r="X8" s="77"/>
    </row>
    <row r="9" spans="1:24" x14ac:dyDescent="0.25">
      <c r="A9">
        <v>4</v>
      </c>
      <c r="B9" s="29"/>
      <c r="C9" s="30"/>
      <c r="D9" s="40"/>
      <c r="E9" s="32"/>
      <c r="F9" s="36"/>
      <c r="G9" s="34"/>
      <c r="H9" s="32"/>
      <c r="I9" s="35"/>
      <c r="J9" s="25"/>
      <c r="K9" s="24"/>
      <c r="L9" s="25"/>
      <c r="M9" s="84"/>
      <c r="N9" s="37"/>
      <c r="O9" s="37"/>
      <c r="P9" s="38"/>
      <c r="Q9" s="38"/>
      <c r="R9" s="38"/>
      <c r="S9" s="24"/>
      <c r="T9" s="85"/>
      <c r="U9" s="25"/>
      <c r="V9" s="26"/>
      <c r="W9" s="26"/>
      <c r="X9" s="77"/>
    </row>
    <row r="10" spans="1:24" x14ac:dyDescent="0.25">
      <c r="A10">
        <v>5</v>
      </c>
      <c r="B10" s="29"/>
      <c r="C10" s="30"/>
      <c r="D10" s="40"/>
      <c r="E10" s="32"/>
      <c r="F10" s="36"/>
      <c r="G10" s="34"/>
      <c r="H10" s="32"/>
      <c r="I10" s="35"/>
      <c r="J10" s="25"/>
      <c r="K10" s="24"/>
      <c r="L10" s="25"/>
      <c r="M10" s="84"/>
      <c r="N10" s="37"/>
      <c r="O10" s="37"/>
      <c r="P10" s="38"/>
      <c r="Q10" s="38"/>
      <c r="R10" s="38"/>
      <c r="S10" s="24"/>
      <c r="T10" s="85"/>
      <c r="U10" s="25"/>
      <c r="V10" s="26"/>
      <c r="W10" s="26"/>
      <c r="X10" s="77"/>
    </row>
    <row r="11" spans="1:24" x14ac:dyDescent="0.25">
      <c r="A11">
        <v>6</v>
      </c>
      <c r="B11" s="29"/>
      <c r="C11" s="30"/>
      <c r="D11" s="40"/>
      <c r="E11" s="32"/>
      <c r="F11" s="36"/>
      <c r="G11" s="34"/>
      <c r="H11" s="32"/>
      <c r="I11" s="35"/>
      <c r="J11" s="25"/>
      <c r="K11" s="24"/>
      <c r="L11" s="25"/>
      <c r="M11" s="76"/>
      <c r="N11" s="37"/>
      <c r="O11" s="37"/>
      <c r="P11" s="38"/>
      <c r="Q11" s="77"/>
      <c r="R11" s="38"/>
      <c r="S11" s="24"/>
      <c r="T11" s="85"/>
      <c r="U11" s="25"/>
      <c r="V11" s="26"/>
      <c r="W11" s="26"/>
      <c r="X11" s="77"/>
    </row>
    <row r="12" spans="1:24" x14ac:dyDescent="0.25">
      <c r="A12">
        <v>7</v>
      </c>
      <c r="B12" s="29"/>
      <c r="C12" s="30"/>
      <c r="D12" s="40"/>
      <c r="E12" s="32"/>
      <c r="F12" s="36"/>
      <c r="G12" s="34"/>
      <c r="H12" s="32"/>
      <c r="I12" s="35"/>
      <c r="J12" s="86"/>
      <c r="K12" s="40"/>
      <c r="L12" s="86"/>
      <c r="M12" s="76"/>
      <c r="N12" s="37"/>
      <c r="O12" s="37"/>
      <c r="P12" s="38"/>
      <c r="Q12" s="38"/>
      <c r="R12" s="38"/>
      <c r="S12" s="40"/>
      <c r="T12" s="87"/>
      <c r="U12" s="86"/>
      <c r="V12" s="88"/>
      <c r="W12" s="88"/>
      <c r="X12" s="38"/>
    </row>
    <row r="13" spans="1:24" x14ac:dyDescent="0.25">
      <c r="A13">
        <v>8</v>
      </c>
      <c r="B13" s="29"/>
      <c r="C13" s="30"/>
      <c r="D13" s="50"/>
      <c r="E13" s="32"/>
      <c r="F13" s="36"/>
      <c r="G13" s="34"/>
      <c r="H13" s="32"/>
      <c r="I13" s="35"/>
      <c r="J13" s="24"/>
      <c r="K13" s="24"/>
      <c r="L13" s="28"/>
      <c r="M13" s="76"/>
      <c r="N13" s="39"/>
      <c r="O13" s="39"/>
      <c r="P13" s="40"/>
      <c r="Q13" s="40"/>
      <c r="R13" s="40"/>
      <c r="S13" s="24"/>
      <c r="T13" s="24"/>
      <c r="U13" s="24"/>
      <c r="V13" s="24"/>
      <c r="W13" s="24"/>
      <c r="X13" s="24"/>
    </row>
    <row r="14" spans="1:24" x14ac:dyDescent="0.25">
      <c r="A14">
        <v>9</v>
      </c>
      <c r="B14" s="29"/>
      <c r="C14" s="30"/>
      <c r="D14" s="50"/>
      <c r="E14" s="32"/>
      <c r="F14" s="36"/>
      <c r="G14" s="34"/>
      <c r="H14" s="32"/>
      <c r="I14" s="35"/>
      <c r="J14" s="24"/>
      <c r="K14" s="24"/>
      <c r="L14" s="28"/>
      <c r="M14" s="76"/>
      <c r="N14" s="39"/>
      <c r="O14" s="39"/>
      <c r="P14" s="40"/>
      <c r="Q14" s="40"/>
      <c r="R14" s="40"/>
      <c r="S14" s="24"/>
      <c r="T14" s="24"/>
      <c r="U14" s="24"/>
      <c r="V14" s="24"/>
      <c r="W14" s="24"/>
      <c r="X14" s="24"/>
    </row>
    <row r="15" spans="1:24" x14ac:dyDescent="0.25">
      <c r="A15">
        <v>10</v>
      </c>
      <c r="B15" s="29"/>
      <c r="C15" s="30"/>
      <c r="D15" s="50"/>
      <c r="E15" s="32"/>
      <c r="F15" s="36"/>
      <c r="G15" s="34"/>
      <c r="H15" s="32"/>
      <c r="I15" s="35"/>
      <c r="J15" s="24"/>
      <c r="K15" s="24"/>
      <c r="L15" s="28"/>
      <c r="M15" s="76"/>
      <c r="N15" s="39"/>
      <c r="O15" s="39"/>
      <c r="P15" s="40"/>
      <c r="Q15" s="40"/>
      <c r="R15" s="40"/>
      <c r="S15" s="24"/>
      <c r="T15" s="24"/>
      <c r="U15" s="24"/>
      <c r="V15" s="24"/>
      <c r="W15" s="24"/>
      <c r="X15" s="24"/>
    </row>
    <row r="16" spans="1:24" x14ac:dyDescent="0.25">
      <c r="A16">
        <v>11</v>
      </c>
      <c r="B16" s="29"/>
      <c r="C16" s="30"/>
      <c r="D16" s="50"/>
      <c r="E16" s="32"/>
      <c r="F16" s="36"/>
      <c r="G16" s="34"/>
      <c r="H16" s="32"/>
      <c r="I16" s="35"/>
      <c r="J16" s="24"/>
      <c r="K16" s="24"/>
      <c r="L16" s="28"/>
      <c r="M16" s="76"/>
      <c r="N16" s="39"/>
      <c r="O16" s="39"/>
      <c r="P16" s="40"/>
      <c r="Q16" s="40"/>
      <c r="R16" s="40"/>
      <c r="S16" s="24"/>
      <c r="T16" s="24"/>
      <c r="U16" s="24"/>
      <c r="V16" s="24"/>
      <c r="W16" s="24"/>
      <c r="X16" s="24"/>
    </row>
    <row r="17" spans="1:24" x14ac:dyDescent="0.25">
      <c r="A17">
        <v>12</v>
      </c>
      <c r="B17" s="29"/>
      <c r="C17" s="30"/>
      <c r="D17" s="50"/>
      <c r="E17" s="32"/>
      <c r="F17" s="36"/>
      <c r="G17" s="34"/>
      <c r="H17" s="32"/>
      <c r="I17" s="35"/>
      <c r="J17" s="24"/>
      <c r="K17" s="24"/>
      <c r="L17" s="28"/>
      <c r="M17" s="76"/>
      <c r="N17" s="39"/>
      <c r="O17" s="39"/>
      <c r="P17" s="40"/>
      <c r="Q17" s="40"/>
      <c r="R17" s="40"/>
      <c r="S17" s="24"/>
      <c r="T17" s="24"/>
      <c r="U17" s="24"/>
      <c r="V17" s="24"/>
      <c r="W17" s="24"/>
      <c r="X17" s="24"/>
    </row>
    <row r="18" spans="1:24" x14ac:dyDescent="0.25">
      <c r="A18">
        <v>13</v>
      </c>
      <c r="B18" s="29"/>
      <c r="C18" s="30"/>
      <c r="D18" s="50"/>
      <c r="E18" s="32"/>
      <c r="F18" s="36"/>
      <c r="G18" s="34"/>
      <c r="H18" s="32"/>
      <c r="I18" s="35"/>
      <c r="J18" s="24"/>
      <c r="K18" s="24"/>
      <c r="L18" s="28"/>
      <c r="M18" s="76"/>
      <c r="N18" s="39"/>
      <c r="O18" s="39"/>
      <c r="P18" s="40"/>
      <c r="Q18" s="40"/>
      <c r="R18" s="40"/>
      <c r="S18" s="24"/>
      <c r="T18" s="24"/>
      <c r="U18" s="24"/>
      <c r="V18" s="24"/>
      <c r="W18" s="24"/>
      <c r="X18" s="24"/>
    </row>
    <row r="19" spans="1:24" x14ac:dyDescent="0.25">
      <c r="A19">
        <v>14</v>
      </c>
      <c r="B19" s="29"/>
      <c r="C19" s="30"/>
      <c r="D19" s="50"/>
      <c r="E19" s="32"/>
      <c r="F19" s="36"/>
      <c r="G19" s="34"/>
      <c r="H19" s="32"/>
      <c r="I19" s="35"/>
      <c r="J19" s="24"/>
      <c r="K19" s="24"/>
      <c r="L19" s="28"/>
      <c r="M19" s="76"/>
      <c r="N19" s="39"/>
      <c r="O19" s="39"/>
      <c r="P19" s="40"/>
      <c r="Q19" s="40"/>
      <c r="R19" s="38"/>
      <c r="S19" s="24"/>
      <c r="T19" s="24"/>
      <c r="U19" s="24"/>
      <c r="V19" s="24"/>
      <c r="W19" s="24"/>
      <c r="X19" s="24"/>
    </row>
    <row r="20" spans="1:24" x14ac:dyDescent="0.25">
      <c r="A20">
        <v>15</v>
      </c>
      <c r="B20" s="29"/>
      <c r="C20" s="30"/>
      <c r="D20" s="50"/>
      <c r="E20" s="32"/>
      <c r="F20" s="36"/>
      <c r="G20" s="34"/>
      <c r="H20" s="32"/>
      <c r="I20" s="35"/>
      <c r="J20" s="24"/>
      <c r="K20" s="24"/>
      <c r="L20" s="28"/>
      <c r="M20" s="76"/>
      <c r="N20" s="39"/>
      <c r="O20" s="39"/>
      <c r="P20" s="40"/>
      <c r="Q20" s="40"/>
      <c r="R20" s="40"/>
      <c r="S20" s="24"/>
      <c r="T20" s="24"/>
      <c r="U20" s="24"/>
      <c r="V20" s="24"/>
      <c r="W20" s="24"/>
      <c r="X20" s="24"/>
    </row>
    <row r="21" spans="1:24" x14ac:dyDescent="0.25">
      <c r="A21">
        <v>16</v>
      </c>
      <c r="B21" s="29"/>
      <c r="C21" s="30"/>
      <c r="D21" s="50"/>
      <c r="E21" s="32"/>
      <c r="F21" s="36"/>
      <c r="G21" s="34"/>
      <c r="H21" s="32"/>
      <c r="I21" s="35"/>
      <c r="J21" s="24"/>
      <c r="K21" s="24"/>
      <c r="L21" s="28"/>
      <c r="M21" s="76"/>
      <c r="N21" s="39"/>
      <c r="O21" s="39"/>
      <c r="P21" s="40"/>
      <c r="Q21" s="40"/>
      <c r="R21" s="40"/>
      <c r="S21" s="24"/>
      <c r="T21" s="24"/>
      <c r="U21" s="24"/>
      <c r="V21" s="85"/>
      <c r="W21" s="24"/>
      <c r="X21" s="24"/>
    </row>
    <row r="22" spans="1:24" x14ac:dyDescent="0.25">
      <c r="A22">
        <v>17</v>
      </c>
      <c r="B22" s="29"/>
      <c r="C22" s="30"/>
      <c r="D22" s="50"/>
      <c r="E22" s="32"/>
      <c r="F22" s="36"/>
      <c r="G22" s="34"/>
      <c r="H22" s="32"/>
      <c r="I22" s="35"/>
      <c r="J22" s="24"/>
      <c r="K22" s="24"/>
      <c r="L22" s="28"/>
      <c r="M22" s="76"/>
      <c r="N22" s="39"/>
      <c r="O22" s="39"/>
      <c r="P22" s="40"/>
      <c r="Q22" s="40"/>
      <c r="R22" s="40"/>
      <c r="S22" s="24"/>
      <c r="T22" s="24"/>
      <c r="U22" s="24"/>
      <c r="V22" s="24"/>
      <c r="W22" s="24"/>
      <c r="X22" s="24"/>
    </row>
    <row r="23" spans="1:24" x14ac:dyDescent="0.25">
      <c r="A23">
        <v>18</v>
      </c>
      <c r="B23" s="29"/>
      <c r="C23" s="30"/>
      <c r="D23" s="50"/>
      <c r="E23" s="32"/>
      <c r="F23" s="36"/>
      <c r="G23" s="34"/>
      <c r="H23" s="32"/>
      <c r="I23" s="35"/>
      <c r="J23" s="24"/>
      <c r="K23" s="24"/>
      <c r="L23" s="28"/>
      <c r="M23" s="76"/>
      <c r="N23" s="39"/>
      <c r="O23" s="39"/>
      <c r="P23" s="40"/>
      <c r="Q23" s="40"/>
      <c r="R23" s="40"/>
      <c r="S23" s="24"/>
      <c r="T23" s="24"/>
      <c r="U23" s="24"/>
      <c r="V23" s="24"/>
      <c r="W23" s="24"/>
      <c r="X23" s="24"/>
    </row>
    <row r="24" spans="1:24" x14ac:dyDescent="0.25">
      <c r="A24">
        <v>19</v>
      </c>
      <c r="B24" s="29"/>
      <c r="C24" s="30"/>
      <c r="D24" s="50"/>
      <c r="E24" s="32"/>
      <c r="F24" s="36"/>
      <c r="G24" s="34"/>
      <c r="H24" s="32"/>
      <c r="I24" s="35"/>
      <c r="J24" s="24"/>
      <c r="K24" s="24"/>
      <c r="L24" s="28"/>
      <c r="M24" s="76"/>
      <c r="N24" s="39"/>
      <c r="O24" s="39"/>
      <c r="P24" s="40"/>
      <c r="Q24" s="40"/>
      <c r="R24" s="40"/>
      <c r="S24" s="24"/>
      <c r="T24" s="24"/>
      <c r="U24" s="24"/>
      <c r="V24" s="24"/>
      <c r="W24" s="24"/>
      <c r="X24" s="24"/>
    </row>
    <row r="25" spans="1:24" x14ac:dyDescent="0.25">
      <c r="A25">
        <v>20</v>
      </c>
      <c r="B25" s="29"/>
      <c r="C25" s="30"/>
      <c r="D25" s="50"/>
      <c r="E25" s="32"/>
      <c r="F25" s="36"/>
      <c r="G25" s="34"/>
      <c r="H25" s="32"/>
      <c r="I25" s="35"/>
      <c r="J25" s="24"/>
      <c r="K25" s="24"/>
      <c r="L25" s="28"/>
      <c r="M25" s="76"/>
      <c r="N25" s="39"/>
      <c r="O25" s="39"/>
      <c r="P25" s="40"/>
      <c r="Q25" s="40"/>
      <c r="R25" s="40"/>
      <c r="S25" s="24"/>
      <c r="T25" s="24"/>
      <c r="U25" s="24"/>
      <c r="V25" s="24"/>
      <c r="W25" s="24"/>
      <c r="X25" s="24"/>
    </row>
    <row r="26" spans="1:24" x14ac:dyDescent="0.25">
      <c r="A26">
        <v>21</v>
      </c>
      <c r="B26" s="29"/>
      <c r="C26" s="30"/>
      <c r="D26" s="50"/>
      <c r="E26" s="32"/>
      <c r="F26" s="36"/>
      <c r="G26" s="34"/>
      <c r="H26" s="32"/>
      <c r="I26" s="35"/>
      <c r="J26" s="24"/>
      <c r="K26" s="24"/>
      <c r="L26" s="28"/>
      <c r="M26" s="76"/>
      <c r="N26" s="39"/>
      <c r="O26" s="39"/>
      <c r="P26" s="40"/>
      <c r="Q26" s="40"/>
      <c r="R26" s="40"/>
      <c r="S26" s="24"/>
      <c r="T26" s="24"/>
      <c r="U26" s="24"/>
      <c r="V26" s="24"/>
      <c r="W26" s="24"/>
      <c r="X26" s="24"/>
    </row>
    <row r="27" spans="1:24" x14ac:dyDescent="0.25">
      <c r="A27">
        <v>22</v>
      </c>
      <c r="B27" s="29"/>
      <c r="C27" s="30"/>
      <c r="D27" s="50"/>
      <c r="E27" s="32"/>
      <c r="F27" s="36"/>
      <c r="G27" s="34"/>
      <c r="H27" s="32"/>
      <c r="I27" s="35"/>
      <c r="J27" s="24"/>
      <c r="K27" s="24"/>
      <c r="L27" s="28"/>
      <c r="M27" s="76"/>
      <c r="N27" s="39"/>
      <c r="O27" s="39"/>
      <c r="P27" s="40"/>
      <c r="Q27" s="40"/>
      <c r="R27" s="40"/>
      <c r="S27" s="24"/>
      <c r="T27" s="24"/>
      <c r="U27" s="24"/>
      <c r="V27" s="24"/>
      <c r="W27" s="24"/>
      <c r="X27" s="24"/>
    </row>
    <row r="28" spans="1:24" x14ac:dyDescent="0.25">
      <c r="A28">
        <v>23</v>
      </c>
      <c r="B28" s="29"/>
      <c r="C28" s="30"/>
      <c r="D28" s="50"/>
      <c r="E28" s="32"/>
      <c r="F28" s="36"/>
      <c r="G28" s="34"/>
      <c r="H28" s="32"/>
      <c r="I28" s="35"/>
      <c r="J28" s="24"/>
      <c r="K28" s="24"/>
      <c r="L28" s="28"/>
      <c r="M28" s="76"/>
      <c r="N28" s="39"/>
      <c r="O28" s="39"/>
      <c r="P28" s="40"/>
      <c r="Q28" s="40"/>
      <c r="R28" s="40"/>
      <c r="S28" s="24"/>
      <c r="T28" s="24"/>
      <c r="U28" s="24"/>
      <c r="V28" s="24"/>
      <c r="W28" s="24"/>
      <c r="X28" s="24"/>
    </row>
    <row r="29" spans="1:24" x14ac:dyDescent="0.25">
      <c r="A29">
        <v>24</v>
      </c>
      <c r="B29" s="29"/>
      <c r="C29" s="30"/>
      <c r="D29" s="50"/>
      <c r="E29" s="32"/>
      <c r="F29" s="36"/>
      <c r="G29" s="34"/>
      <c r="H29" s="32"/>
      <c r="I29" s="35"/>
      <c r="J29" s="24"/>
      <c r="K29" s="24"/>
      <c r="L29" s="28"/>
      <c r="M29" s="76"/>
      <c r="N29" s="39"/>
      <c r="O29" s="39"/>
      <c r="P29" s="40"/>
      <c r="Q29" s="40"/>
      <c r="R29" s="40"/>
      <c r="S29" s="24"/>
      <c r="T29" s="24"/>
      <c r="U29" s="24"/>
      <c r="V29" s="24"/>
      <c r="W29" s="24"/>
      <c r="X29" s="24"/>
    </row>
    <row r="30" spans="1:24" x14ac:dyDescent="0.25">
      <c r="A30">
        <v>25</v>
      </c>
      <c r="B30" s="29"/>
      <c r="C30" s="30"/>
      <c r="D30" s="50"/>
      <c r="E30" s="32"/>
      <c r="F30" s="36"/>
      <c r="G30" s="34"/>
      <c r="H30" s="32"/>
      <c r="I30" s="35"/>
      <c r="J30" s="24"/>
      <c r="K30" s="24"/>
      <c r="L30" s="28"/>
      <c r="M30" s="76"/>
      <c r="N30" s="39"/>
      <c r="O30" s="39"/>
      <c r="P30" s="40"/>
      <c r="Q30" s="40"/>
      <c r="R30" s="40"/>
      <c r="S30" s="24"/>
      <c r="T30" s="24"/>
      <c r="U30" s="24"/>
      <c r="V30" s="24"/>
      <c r="W30" s="24"/>
      <c r="X30" s="24"/>
    </row>
    <row r="31" spans="1:24" x14ac:dyDescent="0.25">
      <c r="A31">
        <v>26</v>
      </c>
      <c r="B31" s="29"/>
      <c r="C31" s="30"/>
      <c r="D31" s="50"/>
      <c r="E31" s="32"/>
      <c r="F31" s="36"/>
      <c r="G31" s="34"/>
      <c r="H31" s="32"/>
      <c r="I31" s="35"/>
      <c r="J31" s="24"/>
      <c r="K31" s="24"/>
      <c r="L31" s="28"/>
      <c r="M31" s="76"/>
      <c r="N31" s="39"/>
      <c r="O31" s="39"/>
      <c r="P31" s="40"/>
      <c r="Q31" s="40"/>
      <c r="R31" s="40"/>
      <c r="S31" s="24"/>
      <c r="T31" s="24"/>
      <c r="U31" s="24"/>
      <c r="V31" s="24"/>
      <c r="W31" s="24"/>
      <c r="X31" s="24"/>
    </row>
    <row r="32" spans="1:24" x14ac:dyDescent="0.25">
      <c r="A32">
        <v>27</v>
      </c>
      <c r="B32" s="29"/>
      <c r="C32" s="30"/>
      <c r="D32" s="50"/>
      <c r="E32" s="32"/>
      <c r="F32" s="36"/>
      <c r="G32" s="34"/>
      <c r="H32" s="32"/>
      <c r="I32" s="35"/>
      <c r="J32" s="24"/>
      <c r="K32" s="24"/>
      <c r="L32" s="28"/>
      <c r="M32" s="76"/>
      <c r="N32" s="39"/>
      <c r="O32" s="39"/>
      <c r="P32" s="40"/>
      <c r="Q32" s="40"/>
      <c r="R32" s="40"/>
      <c r="S32" s="24"/>
      <c r="T32" s="24"/>
      <c r="U32" s="24"/>
      <c r="V32" s="24"/>
      <c r="W32" s="24"/>
      <c r="X32" s="24"/>
    </row>
    <row r="33" spans="1:24" x14ac:dyDescent="0.25">
      <c r="A33">
        <v>28</v>
      </c>
      <c r="B33" s="29"/>
      <c r="C33" s="30"/>
      <c r="D33" s="50"/>
      <c r="E33" s="32"/>
      <c r="F33" s="36"/>
      <c r="G33" s="34"/>
      <c r="H33" s="32"/>
      <c r="I33" s="35"/>
      <c r="J33" s="24"/>
      <c r="K33" s="24"/>
      <c r="L33" s="28"/>
      <c r="M33" s="76"/>
      <c r="N33" s="39"/>
      <c r="O33" s="39"/>
      <c r="P33" s="40"/>
      <c r="Q33" s="40"/>
      <c r="R33" s="40"/>
      <c r="S33" s="24"/>
      <c r="T33" s="24"/>
      <c r="U33" s="24"/>
      <c r="V33" s="24"/>
      <c r="W33" s="24"/>
      <c r="X33" s="24"/>
    </row>
    <row r="34" spans="1:24" x14ac:dyDescent="0.25">
      <c r="A34">
        <v>29</v>
      </c>
      <c r="B34" s="29"/>
      <c r="C34" s="30"/>
      <c r="D34" s="50"/>
      <c r="E34" s="32"/>
      <c r="F34" s="36"/>
      <c r="G34" s="34"/>
      <c r="H34" s="32"/>
      <c r="I34" s="35"/>
      <c r="J34" s="24"/>
      <c r="K34" s="24"/>
      <c r="L34" s="28"/>
      <c r="M34" s="76"/>
      <c r="N34" s="39"/>
      <c r="O34" s="39"/>
      <c r="P34" s="40"/>
      <c r="Q34" s="40"/>
      <c r="R34" s="40"/>
      <c r="S34" s="24"/>
      <c r="T34" s="24"/>
      <c r="U34" s="24"/>
      <c r="V34" s="24"/>
      <c r="W34" s="24"/>
      <c r="X34" s="24"/>
    </row>
    <row r="35" spans="1:24" x14ac:dyDescent="0.25">
      <c r="A35">
        <v>30</v>
      </c>
      <c r="B35" s="29"/>
      <c r="C35" s="30"/>
      <c r="D35" s="50"/>
      <c r="E35" s="32"/>
      <c r="F35" s="36"/>
      <c r="G35" s="34"/>
      <c r="H35" s="32"/>
      <c r="I35" s="35"/>
      <c r="J35" s="24"/>
      <c r="K35" s="24"/>
      <c r="L35" s="28"/>
      <c r="M35" s="76"/>
      <c r="N35" s="39"/>
      <c r="O35" s="39"/>
      <c r="P35" s="40"/>
      <c r="Q35" s="40"/>
      <c r="R35" s="40"/>
      <c r="S35" s="24"/>
      <c r="T35" s="24"/>
      <c r="U35" s="24"/>
      <c r="V35" s="24"/>
      <c r="W35" s="24"/>
      <c r="X35" s="24"/>
    </row>
    <row r="36" spans="1:24" x14ac:dyDescent="0.25">
      <c r="A36">
        <v>31</v>
      </c>
      <c r="B36" s="29"/>
      <c r="C36" s="30"/>
      <c r="D36" s="50"/>
      <c r="E36" s="32"/>
      <c r="F36" s="36"/>
      <c r="G36" s="34"/>
      <c r="H36" s="32"/>
      <c r="I36" s="35"/>
      <c r="J36" s="24"/>
      <c r="K36" s="24"/>
      <c r="L36" s="28"/>
      <c r="M36" s="76"/>
      <c r="N36" s="39"/>
      <c r="O36" s="39"/>
      <c r="P36" s="40"/>
      <c r="Q36" s="40"/>
      <c r="R36" s="40"/>
      <c r="S36" s="24"/>
      <c r="T36" s="24"/>
      <c r="U36" s="24"/>
      <c r="V36" s="24"/>
      <c r="W36" s="24"/>
      <c r="X36" s="24"/>
    </row>
    <row r="38" spans="1:24" ht="31.5" customHeight="1" x14ac:dyDescent="0.25">
      <c r="B38" s="114" t="s">
        <v>33</v>
      </c>
      <c r="C38" s="114"/>
      <c r="D38" s="114"/>
      <c r="E38" s="114"/>
      <c r="F38" s="114"/>
      <c r="G38" s="114"/>
      <c r="H38" s="114"/>
      <c r="I38" s="114"/>
      <c r="J38" s="114"/>
      <c r="K38" s="114"/>
      <c r="L38" s="114"/>
      <c r="M38" s="114"/>
      <c r="N38" s="114"/>
      <c r="O38" s="114"/>
      <c r="P38" s="114"/>
      <c r="Q38" s="114"/>
      <c r="R38" s="114"/>
    </row>
    <row r="40" spans="1:24" x14ac:dyDescent="0.25">
      <c r="B40" s="23"/>
      <c r="C40" s="16" t="s">
        <v>40</v>
      </c>
    </row>
    <row r="41" spans="1:24" x14ac:dyDescent="0.25">
      <c r="B41" s="22"/>
      <c r="C41" s="16" t="s">
        <v>41</v>
      </c>
    </row>
    <row r="42" spans="1:24" x14ac:dyDescent="0.25">
      <c r="B42" s="27"/>
      <c r="C42" s="16" t="s">
        <v>42</v>
      </c>
    </row>
    <row r="44" spans="1:24" x14ac:dyDescent="0.25">
      <c r="A44" s="89" t="s">
        <v>69</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C47E-F996-4B03-AD5C-03C56D871623}">
  <sheetPr codeName="Sheet8"/>
  <dimension ref="A1:A5"/>
  <sheetViews>
    <sheetView workbookViewId="0"/>
  </sheetViews>
  <sheetFormatPr defaultRowHeight="15" x14ac:dyDescent="0.25"/>
  <cols>
    <col min="1" max="1" width="75.85546875" customWidth="1"/>
  </cols>
  <sheetData>
    <row r="1" spans="1:1" x14ac:dyDescent="0.25">
      <c r="A1" t="s">
        <v>74</v>
      </c>
    </row>
    <row r="2" spans="1:1" x14ac:dyDescent="0.25">
      <c r="A2" s="69" t="s">
        <v>73</v>
      </c>
    </row>
    <row r="3" spans="1:1" ht="90" x14ac:dyDescent="0.25">
      <c r="A3" s="69" t="s">
        <v>70</v>
      </c>
    </row>
    <row r="4" spans="1:1" ht="30" x14ac:dyDescent="0.25">
      <c r="A4" s="69" t="s">
        <v>71</v>
      </c>
    </row>
    <row r="5" spans="1:1" ht="105" x14ac:dyDescent="0.25">
      <c r="A5" s="69" t="s">
        <v>72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28C58-0A44-425F-8206-5E680A39C16A}">
  <sheetPr codeName="Sheet7"/>
  <dimension ref="A1:B16"/>
  <sheetViews>
    <sheetView workbookViewId="0">
      <selection activeCell="B7" sqref="B7"/>
    </sheetView>
  </sheetViews>
  <sheetFormatPr defaultRowHeight="15" x14ac:dyDescent="0.25"/>
  <cols>
    <col min="1" max="1" width="9.140625" style="93"/>
    <col min="2" max="2" width="49.28515625" style="94" bestFit="1" customWidth="1"/>
  </cols>
  <sheetData>
    <row r="1" spans="1:2" x14ac:dyDescent="0.25">
      <c r="A1" s="95" t="s">
        <v>75</v>
      </c>
      <c r="B1" s="96" t="s">
        <v>76</v>
      </c>
    </row>
    <row r="2" spans="1:2" ht="30" x14ac:dyDescent="0.25">
      <c r="A2" s="97">
        <v>0.1</v>
      </c>
      <c r="B2" s="98" t="s">
        <v>82</v>
      </c>
    </row>
    <row r="3" spans="1:2" ht="30" x14ac:dyDescent="0.25">
      <c r="A3" s="93">
        <v>0.2</v>
      </c>
      <c r="B3" s="94" t="s">
        <v>77</v>
      </c>
    </row>
    <row r="4" spans="1:2" x14ac:dyDescent="0.25">
      <c r="A4" s="93">
        <v>0.3</v>
      </c>
      <c r="B4" s="94" t="s">
        <v>78</v>
      </c>
    </row>
    <row r="5" spans="1:2" x14ac:dyDescent="0.25">
      <c r="A5" s="93">
        <v>0.4</v>
      </c>
      <c r="B5" s="94" t="s">
        <v>85</v>
      </c>
    </row>
    <row r="6" spans="1:2" x14ac:dyDescent="0.25">
      <c r="A6" s="107">
        <v>0.5</v>
      </c>
      <c r="B6" s="94" t="s">
        <v>90</v>
      </c>
    </row>
    <row r="7" spans="1:2" ht="30" x14ac:dyDescent="0.25">
      <c r="A7" s="109">
        <v>0.6</v>
      </c>
      <c r="B7" s="94" t="s">
        <v>93</v>
      </c>
    </row>
    <row r="9" spans="1:2" x14ac:dyDescent="0.25">
      <c r="A9" s="95" t="s">
        <v>79</v>
      </c>
    </row>
    <row r="11" spans="1:2" x14ac:dyDescent="0.25">
      <c r="A11" s="95" t="s">
        <v>80</v>
      </c>
    </row>
    <row r="12" spans="1:2" x14ac:dyDescent="0.25">
      <c r="A12" s="93">
        <v>1</v>
      </c>
      <c r="B12" s="94" t="s">
        <v>81</v>
      </c>
    </row>
    <row r="13" spans="1:2" x14ac:dyDescent="0.25">
      <c r="A13" s="106"/>
    </row>
    <row r="15" spans="1:2" x14ac:dyDescent="0.25">
      <c r="A15" s="93" t="s">
        <v>91</v>
      </c>
      <c r="B15" s="108" t="s">
        <v>92</v>
      </c>
    </row>
    <row r="16" spans="1:2" x14ac:dyDescent="0.25">
      <c r="A16" s="89" t="s">
        <v>88</v>
      </c>
    </row>
  </sheetData>
  <hyperlinks>
    <hyperlink ref="B15" r:id="rId1" xr:uid="{712F63BE-AFD1-42D4-B584-B59B5195147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B11E8-0815-4B52-BB0F-6EC0971599E3}">
  <sheetPr codeName="Sheet4"/>
  <dimension ref="A1:R42"/>
  <sheetViews>
    <sheetView zoomScaleNormal="100" workbookViewId="0"/>
  </sheetViews>
  <sheetFormatPr defaultRowHeight="15" x14ac:dyDescent="0.25"/>
  <cols>
    <col min="2" max="2" width="19.28515625" style="16" bestFit="1" customWidth="1"/>
    <col min="3" max="3" width="19.42578125" style="16" bestFit="1" customWidth="1"/>
    <col min="4" max="5" width="10.140625" bestFit="1" customWidth="1"/>
    <col min="6" max="6" width="9" style="10" bestFit="1" customWidth="1"/>
    <col min="7" max="7" width="10.140625" style="10" customWidth="1"/>
    <col min="8" max="9" width="10.140625" customWidth="1"/>
    <col min="10" max="10" width="8.425781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s>
  <sheetData>
    <row r="1" spans="1:18" ht="30" x14ac:dyDescent="0.25">
      <c r="K1" s="17" t="s">
        <v>17</v>
      </c>
      <c r="L1" s="20" t="s">
        <v>19</v>
      </c>
      <c r="M1" s="19" t="s">
        <v>0</v>
      </c>
      <c r="P1" s="18" t="s">
        <v>35</v>
      </c>
      <c r="R1" s="18" t="s">
        <v>36</v>
      </c>
    </row>
    <row r="2" spans="1:18" x14ac:dyDescent="0.25">
      <c r="B2" s="16" t="s">
        <v>34</v>
      </c>
      <c r="K2" s="24">
        <f>SUM(K6:K32)</f>
        <v>262</v>
      </c>
      <c r="L2" s="24">
        <f>SUM(L6:L32)</f>
        <v>71</v>
      </c>
      <c r="M2" s="24">
        <f>SUM(M6:M32)</f>
        <v>91</v>
      </c>
      <c r="P2" s="26">
        <f>SUM(P6:P32)</f>
        <v>8.3767692307692307</v>
      </c>
      <c r="R2" s="26">
        <f>(P2/K2)*30</f>
        <v>0.95917204932472111</v>
      </c>
    </row>
    <row r="4" spans="1:18" x14ac:dyDescent="0.25">
      <c r="B4" s="118" t="s">
        <v>1</v>
      </c>
      <c r="C4" s="118" t="s">
        <v>18</v>
      </c>
      <c r="D4" s="119" t="s">
        <v>20</v>
      </c>
      <c r="E4" s="119"/>
      <c r="F4" s="120" t="s">
        <v>21</v>
      </c>
      <c r="G4" s="120"/>
      <c r="H4" s="119" t="s">
        <v>22</v>
      </c>
      <c r="I4" s="119"/>
      <c r="J4" s="119"/>
      <c r="K4" s="113" t="s">
        <v>17</v>
      </c>
      <c r="L4" s="112" t="s">
        <v>19</v>
      </c>
      <c r="M4" s="115" t="s">
        <v>0</v>
      </c>
      <c r="N4" s="116" t="s">
        <v>27</v>
      </c>
      <c r="O4" s="116" t="s">
        <v>26</v>
      </c>
      <c r="P4" s="113" t="s">
        <v>30</v>
      </c>
      <c r="Q4" s="113" t="s">
        <v>29</v>
      </c>
      <c r="R4" s="113" t="s">
        <v>25</v>
      </c>
    </row>
    <row r="5" spans="1:18" x14ac:dyDescent="0.25">
      <c r="B5" s="118"/>
      <c r="C5" s="118"/>
      <c r="D5" s="7" t="s">
        <v>23</v>
      </c>
      <c r="E5" s="7" t="s">
        <v>24</v>
      </c>
      <c r="F5" s="9" t="s">
        <v>23</v>
      </c>
      <c r="G5" s="9" t="s">
        <v>24</v>
      </c>
      <c r="H5" s="7" t="s">
        <v>23</v>
      </c>
      <c r="I5" s="7" t="s">
        <v>24</v>
      </c>
      <c r="J5" s="7" t="s">
        <v>28</v>
      </c>
      <c r="K5" s="113"/>
      <c r="L5" s="112"/>
      <c r="M5" s="115"/>
      <c r="N5" s="117"/>
      <c r="O5" s="117"/>
      <c r="P5" s="112"/>
      <c r="Q5" s="112"/>
      <c r="R5" s="112"/>
    </row>
    <row r="6" spans="1:18" x14ac:dyDescent="0.25">
      <c r="A6">
        <v>1</v>
      </c>
      <c r="B6" s="29">
        <v>45261.875</v>
      </c>
      <c r="C6" s="30">
        <v>45261.958333333336</v>
      </c>
      <c r="D6" s="31">
        <v>15</v>
      </c>
      <c r="E6" s="32">
        <v>25</v>
      </c>
      <c r="F6" s="33">
        <v>0.75</v>
      </c>
      <c r="G6" s="34">
        <v>0.8</v>
      </c>
      <c r="H6" s="31">
        <v>251</v>
      </c>
      <c r="I6" s="35">
        <v>261</v>
      </c>
      <c r="J6" s="24">
        <f>I6-H6</f>
        <v>10</v>
      </c>
      <c r="K6" s="24">
        <f t="shared" ref="K6:K11" si="0">E6-D6</f>
        <v>10</v>
      </c>
      <c r="L6" s="25">
        <f t="shared" ref="L6:L11" si="1">HOUR(C6-B6)</f>
        <v>2</v>
      </c>
      <c r="M6" s="76">
        <v>8</v>
      </c>
      <c r="N6" s="37">
        <f>Rates!$C$8</f>
        <v>9.1999999999999998E-2</v>
      </c>
      <c r="O6" s="37">
        <f>Rates!$C$10</f>
        <v>9.4E-2</v>
      </c>
      <c r="P6" s="38">
        <f>IF(L6&lt;=Rates!$G$15,N6*M6,(Rates!$G$15*(L6/M6)*N6)+((L6-Rates!$G$15)*(M6/L6))*O6)</f>
        <v>0.73599999999999999</v>
      </c>
      <c r="Q6" s="38">
        <f t="shared" ref="Q6:Q11" si="2">P6/K6</f>
        <v>7.3599999999999999E-2</v>
      </c>
      <c r="R6" s="38">
        <f t="shared" ref="R6:R11" si="3">Q6*30</f>
        <v>2.2080000000000002</v>
      </c>
    </row>
    <row r="7" spans="1:18" x14ac:dyDescent="0.25">
      <c r="A7">
        <v>2</v>
      </c>
      <c r="B7" s="29">
        <v>45269.875</v>
      </c>
      <c r="C7" s="30">
        <v>45270.45</v>
      </c>
      <c r="D7" s="32">
        <v>25</v>
      </c>
      <c r="E7" s="32">
        <v>80</v>
      </c>
      <c r="F7" s="36">
        <v>0.54</v>
      </c>
      <c r="G7" s="34">
        <v>0.75</v>
      </c>
      <c r="H7" s="32">
        <v>177</v>
      </c>
      <c r="I7" s="35">
        <v>246</v>
      </c>
      <c r="J7" s="24">
        <f>I7-H7</f>
        <v>69</v>
      </c>
      <c r="K7" s="24">
        <f t="shared" si="0"/>
        <v>55</v>
      </c>
      <c r="L7" s="25">
        <f t="shared" si="1"/>
        <v>13</v>
      </c>
      <c r="M7" s="76">
        <v>17</v>
      </c>
      <c r="N7" s="37">
        <f>Rates!$C$8</f>
        <v>9.1999999999999998E-2</v>
      </c>
      <c r="O7" s="37">
        <f>Rates!$C$10</f>
        <v>9.4E-2</v>
      </c>
      <c r="P7" s="38">
        <f>IF(L7&lt;=Rates!$G$15,N7*M7,(Rates!$G$15*(M7/L7)*N7)+((L7-Rates!$G$15)*(M7/L7))*O7)</f>
        <v>1.5666153846153847</v>
      </c>
      <c r="Q7" s="38">
        <f t="shared" si="2"/>
        <v>2.8483916083916087E-2</v>
      </c>
      <c r="R7" s="38">
        <f t="shared" si="3"/>
        <v>0.85451748251748261</v>
      </c>
    </row>
    <row r="8" spans="1:18" x14ac:dyDescent="0.25">
      <c r="A8">
        <v>3</v>
      </c>
      <c r="B8" s="29">
        <v>45272.875</v>
      </c>
      <c r="C8" s="30">
        <v>45273.308333333334</v>
      </c>
      <c r="D8" s="32">
        <v>80</v>
      </c>
      <c r="E8" s="32">
        <v>104</v>
      </c>
      <c r="F8" s="36">
        <v>0.64</v>
      </c>
      <c r="G8" s="34">
        <v>0.8</v>
      </c>
      <c r="H8" s="32">
        <v>210</v>
      </c>
      <c r="I8" s="35">
        <v>262</v>
      </c>
      <c r="J8" s="24">
        <f>IF(ISBLANK(I8),0,I8-H8)</f>
        <v>52</v>
      </c>
      <c r="K8" s="24">
        <f t="shared" si="0"/>
        <v>24</v>
      </c>
      <c r="L8" s="25">
        <f t="shared" si="1"/>
        <v>10</v>
      </c>
      <c r="M8" s="76">
        <v>13</v>
      </c>
      <c r="N8" s="37">
        <f>Rates!$C$8</f>
        <v>9.1999999999999998E-2</v>
      </c>
      <c r="O8" s="37">
        <f>Rates!$C$10</f>
        <v>9.4E-2</v>
      </c>
      <c r="P8" s="38">
        <f>IF(L8&lt;=Rates!$G$15,N8*M8,(Rates!$G$15*(M8/L8)*N8)+((L8-Rates!$G$15)*(M8/L8))*O8)</f>
        <v>1.196</v>
      </c>
      <c r="Q8" s="38">
        <f t="shared" si="2"/>
        <v>4.9833333333333334E-2</v>
      </c>
      <c r="R8" s="38">
        <f t="shared" si="3"/>
        <v>1.4950000000000001</v>
      </c>
    </row>
    <row r="9" spans="1:18" x14ac:dyDescent="0.25">
      <c r="A9">
        <v>4</v>
      </c>
      <c r="B9" s="29">
        <v>45277.875</v>
      </c>
      <c r="C9" s="30">
        <v>45278.291666666664</v>
      </c>
      <c r="D9" s="32">
        <v>104</v>
      </c>
      <c r="E9" s="32">
        <v>136</v>
      </c>
      <c r="F9" s="36">
        <v>0.65</v>
      </c>
      <c r="G9" s="34">
        <v>0.8</v>
      </c>
      <c r="H9" s="32">
        <v>213</v>
      </c>
      <c r="I9" s="35">
        <v>263</v>
      </c>
      <c r="J9" s="24">
        <f>IF(ISBLANK(I9),0,I9-H9)</f>
        <v>50</v>
      </c>
      <c r="K9" s="24">
        <f t="shared" si="0"/>
        <v>32</v>
      </c>
      <c r="L9" s="25">
        <f t="shared" si="1"/>
        <v>10</v>
      </c>
      <c r="M9" s="76">
        <v>11</v>
      </c>
      <c r="N9" s="37">
        <f>Rates!$C$8</f>
        <v>9.1999999999999998E-2</v>
      </c>
      <c r="O9" s="37">
        <f>Rates!$C$10</f>
        <v>9.4E-2</v>
      </c>
      <c r="P9" s="38">
        <f>IF(L9&lt;=Rates!$G$15,N9*M9,(Rates!$G$15*(M9/L9)*N9)+((L9-Rates!$G$15)*(M9/L9))*O9)</f>
        <v>1.012</v>
      </c>
      <c r="Q9" s="38">
        <f t="shared" si="2"/>
        <v>3.1625E-2</v>
      </c>
      <c r="R9" s="38">
        <f t="shared" si="3"/>
        <v>0.94874999999999998</v>
      </c>
    </row>
    <row r="10" spans="1:18" x14ac:dyDescent="0.25">
      <c r="A10">
        <v>5</v>
      </c>
      <c r="B10" s="29">
        <v>45279.875</v>
      </c>
      <c r="C10" s="30">
        <v>45280.441666666666</v>
      </c>
      <c r="D10" s="32">
        <v>136</v>
      </c>
      <c r="E10" s="32">
        <v>191</v>
      </c>
      <c r="F10" s="36">
        <v>0.56000000000000005</v>
      </c>
      <c r="G10" s="34">
        <v>0.72</v>
      </c>
      <c r="H10" s="32">
        <v>185</v>
      </c>
      <c r="I10" s="35">
        <v>238</v>
      </c>
      <c r="J10" s="24">
        <f>IF(ISBLANK(I10),0,I10-H10)</f>
        <v>53</v>
      </c>
      <c r="K10" s="24">
        <f t="shared" si="0"/>
        <v>55</v>
      </c>
      <c r="L10" s="25">
        <f t="shared" si="1"/>
        <v>13</v>
      </c>
      <c r="M10" s="76">
        <v>14</v>
      </c>
      <c r="N10" s="37">
        <f>Rates!$C$8</f>
        <v>9.1999999999999998E-2</v>
      </c>
      <c r="O10" s="37">
        <f>Rates!$C$10</f>
        <v>9.4E-2</v>
      </c>
      <c r="P10" s="38">
        <f>IF(L10&lt;=Rates!$G$15,N10*M10,(Rates!$G$15*(M10/L10)*N10)+((L10-Rates!$G$15)*(M10/L10))*O10)</f>
        <v>1.2901538461538462</v>
      </c>
      <c r="Q10" s="38">
        <f t="shared" si="2"/>
        <v>2.3457342657342659E-2</v>
      </c>
      <c r="R10" s="38">
        <f t="shared" si="3"/>
        <v>0.70372027972027973</v>
      </c>
    </row>
    <row r="11" spans="1:18" x14ac:dyDescent="0.25">
      <c r="A11">
        <v>6</v>
      </c>
      <c r="B11" s="29">
        <v>45282.875</v>
      </c>
      <c r="C11" s="30">
        <v>45283.371527777781</v>
      </c>
      <c r="D11" s="32">
        <v>191</v>
      </c>
      <c r="E11" s="32">
        <v>233</v>
      </c>
      <c r="F11" s="36">
        <v>0.56999999999999995</v>
      </c>
      <c r="G11" s="34">
        <v>0.75</v>
      </c>
      <c r="H11" s="32">
        <v>189</v>
      </c>
      <c r="I11" s="35">
        <v>247</v>
      </c>
      <c r="J11" s="24">
        <f>IF(ISBLANK(I11),0,I11-H11)</f>
        <v>58</v>
      </c>
      <c r="K11" s="24">
        <f t="shared" si="0"/>
        <v>42</v>
      </c>
      <c r="L11" s="25">
        <f t="shared" si="1"/>
        <v>11</v>
      </c>
      <c r="M11" s="76">
        <v>14</v>
      </c>
      <c r="N11" s="37">
        <f>Rates!$C$8</f>
        <v>9.1999999999999998E-2</v>
      </c>
      <c r="O11" s="37">
        <f>Rates!$C$10</f>
        <v>9.4E-2</v>
      </c>
      <c r="P11" s="38">
        <f>IF(L11&lt;=Rates!$G$15,N11*M11,(Rates!$G$15*(M11/L11)*N11)+((L11-Rates!$G$15)*(M11/L11))*O11)</f>
        <v>1.288</v>
      </c>
      <c r="Q11" s="38">
        <f t="shared" si="2"/>
        <v>3.0666666666666668E-2</v>
      </c>
      <c r="R11" s="38">
        <f t="shared" si="3"/>
        <v>0.92</v>
      </c>
    </row>
    <row r="12" spans="1:18" x14ac:dyDescent="0.25">
      <c r="A12">
        <v>7</v>
      </c>
      <c r="B12" s="29">
        <v>45286.875</v>
      </c>
      <c r="C12" s="30">
        <v>45287.385416666664</v>
      </c>
      <c r="D12" s="32">
        <v>233</v>
      </c>
      <c r="E12" s="32">
        <v>277</v>
      </c>
      <c r="F12" s="36">
        <v>0.54</v>
      </c>
      <c r="G12" s="34">
        <v>0.73</v>
      </c>
      <c r="H12" s="32">
        <v>179</v>
      </c>
      <c r="I12" s="35">
        <v>239</v>
      </c>
      <c r="J12" s="24">
        <f>IF(ISBLANK(I12),0,I12-H12)</f>
        <v>60</v>
      </c>
      <c r="K12" s="24">
        <f t="shared" ref="K12" si="4">E12-D12</f>
        <v>44</v>
      </c>
      <c r="L12" s="25">
        <f t="shared" ref="L12" si="5">HOUR(C12-B12)</f>
        <v>12</v>
      </c>
      <c r="M12" s="76">
        <v>14</v>
      </c>
      <c r="N12" s="37">
        <f>Rates!$C$8</f>
        <v>9.1999999999999998E-2</v>
      </c>
      <c r="O12" s="37">
        <f>Rates!$C$10</f>
        <v>9.4E-2</v>
      </c>
      <c r="P12" s="38">
        <f>IF(L12&lt;=Rates!$G$15,N12*M12,(Rates!$G$15*(M12/L12)*N12)+((L12-Rates!$G$15)*(M12/L12))*O12)</f>
        <v>1.288</v>
      </c>
      <c r="Q12" s="38">
        <f t="shared" ref="Q12" si="6">P12/K12</f>
        <v>2.9272727272727273E-2</v>
      </c>
      <c r="R12" s="38">
        <f t="shared" ref="R12" si="7">Q12*30</f>
        <v>0.87818181818181817</v>
      </c>
    </row>
    <row r="13" spans="1:18" x14ac:dyDescent="0.25">
      <c r="A13">
        <v>8</v>
      </c>
      <c r="B13" s="29"/>
      <c r="C13" s="30"/>
      <c r="D13" s="32"/>
      <c r="E13" s="32"/>
      <c r="F13" s="36"/>
      <c r="G13" s="34"/>
      <c r="H13" s="32"/>
      <c r="I13" s="35"/>
      <c r="J13" s="24"/>
      <c r="K13" s="24"/>
      <c r="L13" s="28"/>
      <c r="M13" s="76"/>
      <c r="N13" s="39"/>
      <c r="O13" s="39"/>
      <c r="P13" s="40"/>
      <c r="Q13" s="40"/>
      <c r="R13" s="40"/>
    </row>
    <row r="14" spans="1:18" x14ac:dyDescent="0.25">
      <c r="A14">
        <v>9</v>
      </c>
      <c r="B14" s="29"/>
      <c r="C14" s="30"/>
      <c r="D14" s="32"/>
      <c r="E14" s="32"/>
      <c r="F14" s="36"/>
      <c r="G14" s="34"/>
      <c r="H14" s="32"/>
      <c r="I14" s="35"/>
      <c r="J14" s="24"/>
      <c r="K14" s="24"/>
      <c r="L14" s="28"/>
      <c r="M14" s="76"/>
      <c r="N14" s="39"/>
      <c r="O14" s="39"/>
      <c r="P14" s="40"/>
      <c r="Q14" s="40"/>
      <c r="R14" s="40"/>
    </row>
    <row r="15" spans="1:18" x14ac:dyDescent="0.25">
      <c r="A15">
        <v>10</v>
      </c>
      <c r="B15" s="29"/>
      <c r="C15" s="30"/>
      <c r="D15" s="32"/>
      <c r="E15" s="32"/>
      <c r="F15" s="36"/>
      <c r="G15" s="34"/>
      <c r="H15" s="32"/>
      <c r="I15" s="35"/>
      <c r="J15" s="24"/>
      <c r="K15" s="24"/>
      <c r="L15" s="28"/>
      <c r="M15" s="76"/>
      <c r="N15" s="39"/>
      <c r="O15" s="39"/>
      <c r="P15" s="40"/>
      <c r="Q15" s="40"/>
      <c r="R15" s="40"/>
    </row>
    <row r="16" spans="1:18" x14ac:dyDescent="0.25">
      <c r="A16">
        <v>11</v>
      </c>
      <c r="B16" s="29"/>
      <c r="C16" s="30"/>
      <c r="D16" s="32"/>
      <c r="E16" s="32"/>
      <c r="F16" s="36"/>
      <c r="G16" s="34"/>
      <c r="H16" s="32"/>
      <c r="I16" s="35"/>
      <c r="J16" s="24"/>
      <c r="K16" s="24"/>
      <c r="L16" s="28"/>
      <c r="M16" s="76"/>
      <c r="N16" s="39"/>
      <c r="O16" s="39"/>
      <c r="P16" s="40"/>
      <c r="Q16" s="40"/>
      <c r="R16" s="40"/>
    </row>
    <row r="17" spans="1:18" x14ac:dyDescent="0.25">
      <c r="A17">
        <v>12</v>
      </c>
      <c r="B17" s="29"/>
      <c r="C17" s="30"/>
      <c r="D17" s="32"/>
      <c r="E17" s="32"/>
      <c r="F17" s="36"/>
      <c r="G17" s="34"/>
      <c r="H17" s="32"/>
      <c r="I17" s="35"/>
      <c r="J17" s="24"/>
      <c r="K17" s="24"/>
      <c r="L17" s="28"/>
      <c r="M17" s="76"/>
      <c r="N17" s="39"/>
      <c r="O17" s="39"/>
      <c r="P17" s="40"/>
      <c r="Q17" s="40"/>
      <c r="R17" s="40"/>
    </row>
    <row r="18" spans="1:18" x14ac:dyDescent="0.25">
      <c r="A18">
        <v>13</v>
      </c>
      <c r="B18" s="29"/>
      <c r="C18" s="30"/>
      <c r="D18" s="32"/>
      <c r="E18" s="32"/>
      <c r="F18" s="36"/>
      <c r="G18" s="34"/>
      <c r="H18" s="32"/>
      <c r="I18" s="35"/>
      <c r="J18" s="24"/>
      <c r="K18" s="24"/>
      <c r="L18" s="28"/>
      <c r="M18" s="76"/>
      <c r="N18" s="39"/>
      <c r="O18" s="39"/>
      <c r="P18" s="40"/>
      <c r="Q18" s="40"/>
      <c r="R18" s="40"/>
    </row>
    <row r="19" spans="1:18" x14ac:dyDescent="0.25">
      <c r="A19">
        <v>14</v>
      </c>
      <c r="B19" s="29"/>
      <c r="C19" s="30"/>
      <c r="D19" s="32"/>
      <c r="E19" s="32"/>
      <c r="F19" s="36"/>
      <c r="G19" s="34"/>
      <c r="H19" s="32"/>
      <c r="I19" s="35"/>
      <c r="J19" s="24"/>
      <c r="K19" s="24"/>
      <c r="L19" s="28"/>
      <c r="M19" s="76"/>
      <c r="N19" s="39"/>
      <c r="O19" s="39"/>
      <c r="P19" s="40"/>
      <c r="Q19" s="40"/>
      <c r="R19" s="38"/>
    </row>
    <row r="20" spans="1:18" x14ac:dyDescent="0.25">
      <c r="A20">
        <v>15</v>
      </c>
      <c r="B20" s="29"/>
      <c r="C20" s="30"/>
      <c r="D20" s="32"/>
      <c r="E20" s="32"/>
      <c r="F20" s="36"/>
      <c r="G20" s="34"/>
      <c r="H20" s="32"/>
      <c r="I20" s="35"/>
      <c r="J20" s="24"/>
      <c r="K20" s="24"/>
      <c r="L20" s="28"/>
      <c r="M20" s="76"/>
      <c r="N20" s="39"/>
      <c r="O20" s="39"/>
      <c r="P20" s="40"/>
      <c r="Q20" s="40"/>
      <c r="R20" s="40"/>
    </row>
    <row r="21" spans="1:18" x14ac:dyDescent="0.25">
      <c r="A21">
        <v>16</v>
      </c>
      <c r="B21" s="29"/>
      <c r="C21" s="30"/>
      <c r="D21" s="32"/>
      <c r="E21" s="32"/>
      <c r="F21" s="36"/>
      <c r="G21" s="34"/>
      <c r="H21" s="32"/>
      <c r="I21" s="35"/>
      <c r="J21" s="24"/>
      <c r="K21" s="24"/>
      <c r="L21" s="28"/>
      <c r="M21" s="76"/>
      <c r="N21" s="39"/>
      <c r="O21" s="39"/>
      <c r="P21" s="40"/>
      <c r="Q21" s="40"/>
      <c r="R21" s="40"/>
    </row>
    <row r="22" spans="1:18" x14ac:dyDescent="0.25">
      <c r="A22">
        <v>17</v>
      </c>
      <c r="B22" s="29"/>
      <c r="C22" s="30"/>
      <c r="D22" s="32"/>
      <c r="E22" s="32"/>
      <c r="F22" s="36"/>
      <c r="G22" s="34"/>
      <c r="H22" s="32"/>
      <c r="I22" s="35"/>
      <c r="J22" s="24"/>
      <c r="K22" s="24"/>
      <c r="L22" s="28"/>
      <c r="M22" s="76"/>
      <c r="N22" s="39"/>
      <c r="O22" s="39"/>
      <c r="P22" s="40"/>
      <c r="Q22" s="40"/>
      <c r="R22" s="40"/>
    </row>
    <row r="23" spans="1:18" x14ac:dyDescent="0.25">
      <c r="A23">
        <v>18</v>
      </c>
      <c r="B23" s="29"/>
      <c r="C23" s="30"/>
      <c r="D23" s="32"/>
      <c r="E23" s="32"/>
      <c r="F23" s="36"/>
      <c r="G23" s="34"/>
      <c r="H23" s="32"/>
      <c r="I23" s="35"/>
      <c r="J23" s="24"/>
      <c r="K23" s="24"/>
      <c r="L23" s="28"/>
      <c r="M23" s="76"/>
      <c r="N23" s="39"/>
      <c r="O23" s="39"/>
      <c r="P23" s="40"/>
      <c r="Q23" s="40"/>
      <c r="R23" s="40"/>
    </row>
    <row r="24" spans="1:18" x14ac:dyDescent="0.25">
      <c r="A24">
        <v>19</v>
      </c>
      <c r="B24" s="29"/>
      <c r="C24" s="30"/>
      <c r="D24" s="32"/>
      <c r="E24" s="32"/>
      <c r="F24" s="36"/>
      <c r="G24" s="34"/>
      <c r="H24" s="32"/>
      <c r="I24" s="35"/>
      <c r="J24" s="24"/>
      <c r="K24" s="24"/>
      <c r="L24" s="28"/>
      <c r="M24" s="76"/>
      <c r="N24" s="39"/>
      <c r="O24" s="39"/>
      <c r="P24" s="40"/>
      <c r="Q24" s="40"/>
      <c r="R24" s="40"/>
    </row>
    <row r="25" spans="1:18" x14ac:dyDescent="0.25">
      <c r="A25">
        <v>20</v>
      </c>
      <c r="B25" s="29"/>
      <c r="C25" s="30"/>
      <c r="D25" s="32"/>
      <c r="E25" s="32"/>
      <c r="F25" s="36"/>
      <c r="G25" s="34"/>
      <c r="H25" s="32"/>
      <c r="I25" s="35"/>
      <c r="J25" s="24"/>
      <c r="K25" s="24"/>
      <c r="L25" s="28"/>
      <c r="M25" s="76"/>
      <c r="N25" s="39"/>
      <c r="O25" s="39"/>
      <c r="P25" s="40"/>
      <c r="Q25" s="40"/>
      <c r="R25" s="40"/>
    </row>
    <row r="26" spans="1:18" x14ac:dyDescent="0.25">
      <c r="A26">
        <v>21</v>
      </c>
      <c r="B26" s="29"/>
      <c r="C26" s="30"/>
      <c r="D26" s="32"/>
      <c r="E26" s="32"/>
      <c r="F26" s="36"/>
      <c r="G26" s="34"/>
      <c r="H26" s="32"/>
      <c r="I26" s="35"/>
      <c r="J26" s="24"/>
      <c r="K26" s="24"/>
      <c r="L26" s="28"/>
      <c r="M26" s="76"/>
      <c r="N26" s="39"/>
      <c r="O26" s="39"/>
      <c r="P26" s="40"/>
      <c r="Q26" s="40"/>
      <c r="R26" s="40"/>
    </row>
    <row r="27" spans="1:18" x14ac:dyDescent="0.25">
      <c r="A27">
        <v>22</v>
      </c>
      <c r="B27" s="29"/>
      <c r="C27" s="30"/>
      <c r="D27" s="32"/>
      <c r="E27" s="32"/>
      <c r="F27" s="36"/>
      <c r="G27" s="34"/>
      <c r="H27" s="32"/>
      <c r="I27" s="35"/>
      <c r="J27" s="24"/>
      <c r="K27" s="24"/>
      <c r="L27" s="28"/>
      <c r="M27" s="76"/>
      <c r="N27" s="39"/>
      <c r="O27" s="39"/>
      <c r="P27" s="40"/>
      <c r="Q27" s="40"/>
      <c r="R27" s="40"/>
    </row>
    <row r="28" spans="1:18" x14ac:dyDescent="0.25">
      <c r="A28">
        <v>23</v>
      </c>
      <c r="B28" s="29"/>
      <c r="C28" s="30"/>
      <c r="D28" s="32"/>
      <c r="E28" s="32"/>
      <c r="F28" s="36"/>
      <c r="G28" s="34"/>
      <c r="H28" s="32"/>
      <c r="I28" s="35"/>
      <c r="J28" s="24"/>
      <c r="K28" s="24"/>
      <c r="L28" s="28"/>
      <c r="M28" s="76"/>
      <c r="N28" s="39"/>
      <c r="O28" s="39"/>
      <c r="P28" s="40"/>
      <c r="Q28" s="40"/>
      <c r="R28" s="40"/>
    </row>
    <row r="29" spans="1:18" x14ac:dyDescent="0.25">
      <c r="A29">
        <v>24</v>
      </c>
      <c r="B29" s="29"/>
      <c r="C29" s="30"/>
      <c r="D29" s="32"/>
      <c r="E29" s="32"/>
      <c r="F29" s="36"/>
      <c r="G29" s="34"/>
      <c r="H29" s="32"/>
      <c r="I29" s="35"/>
      <c r="J29" s="24"/>
      <c r="K29" s="24"/>
      <c r="L29" s="28"/>
      <c r="M29" s="76"/>
      <c r="N29" s="39"/>
      <c r="O29" s="39"/>
      <c r="P29" s="40"/>
      <c r="Q29" s="40"/>
      <c r="R29" s="40"/>
    </row>
    <row r="30" spans="1:18" x14ac:dyDescent="0.25">
      <c r="A30">
        <v>25</v>
      </c>
      <c r="B30" s="29"/>
      <c r="C30" s="30"/>
      <c r="D30" s="32"/>
      <c r="E30" s="32"/>
      <c r="F30" s="36"/>
      <c r="G30" s="34"/>
      <c r="H30" s="32"/>
      <c r="I30" s="35"/>
      <c r="J30" s="24"/>
      <c r="K30" s="24"/>
      <c r="L30" s="28"/>
      <c r="M30" s="76"/>
      <c r="N30" s="39"/>
      <c r="O30" s="39"/>
      <c r="P30" s="40"/>
      <c r="Q30" s="40"/>
      <c r="R30" s="40"/>
    </row>
    <row r="31" spans="1:18" x14ac:dyDescent="0.25">
      <c r="A31">
        <v>26</v>
      </c>
      <c r="B31" s="29"/>
      <c r="C31" s="30"/>
      <c r="D31" s="32"/>
      <c r="E31" s="32"/>
      <c r="F31" s="36"/>
      <c r="G31" s="34"/>
      <c r="H31" s="32"/>
      <c r="I31" s="35"/>
      <c r="J31" s="24"/>
      <c r="K31" s="24"/>
      <c r="L31" s="28"/>
      <c r="M31" s="76"/>
      <c r="N31" s="39"/>
      <c r="O31" s="39"/>
      <c r="P31" s="40"/>
      <c r="Q31" s="40"/>
      <c r="R31" s="40"/>
    </row>
    <row r="32" spans="1:18" x14ac:dyDescent="0.25">
      <c r="A32">
        <v>27</v>
      </c>
      <c r="B32" s="29"/>
      <c r="C32" s="30"/>
      <c r="D32" s="32"/>
      <c r="E32" s="32"/>
      <c r="F32" s="36"/>
      <c r="G32" s="34"/>
      <c r="H32" s="32"/>
      <c r="I32" s="35"/>
      <c r="J32" s="24"/>
      <c r="K32" s="24"/>
      <c r="L32" s="28"/>
      <c r="M32" s="76"/>
      <c r="N32" s="39"/>
      <c r="O32" s="39"/>
      <c r="P32" s="40"/>
      <c r="Q32" s="40"/>
      <c r="R32" s="40"/>
    </row>
    <row r="33" spans="1:18" x14ac:dyDescent="0.25">
      <c r="A33">
        <v>28</v>
      </c>
      <c r="B33" s="29"/>
      <c r="C33" s="30"/>
      <c r="D33" s="32"/>
      <c r="E33" s="32"/>
      <c r="F33" s="36"/>
      <c r="G33" s="34"/>
      <c r="H33" s="32"/>
      <c r="I33" s="35"/>
      <c r="J33" s="24"/>
      <c r="K33" s="24"/>
      <c r="L33" s="28"/>
      <c r="M33" s="76"/>
      <c r="N33" s="39"/>
      <c r="O33" s="39"/>
      <c r="P33" s="40"/>
      <c r="Q33" s="40"/>
      <c r="R33" s="40"/>
    </row>
    <row r="34" spans="1:18" x14ac:dyDescent="0.25">
      <c r="A34">
        <v>29</v>
      </c>
      <c r="B34" s="29"/>
      <c r="C34" s="30"/>
      <c r="D34" s="32"/>
      <c r="E34" s="32"/>
      <c r="F34" s="36"/>
      <c r="G34" s="34"/>
      <c r="H34" s="32"/>
      <c r="I34" s="35"/>
      <c r="J34" s="24"/>
      <c r="K34" s="24"/>
      <c r="L34" s="28"/>
      <c r="M34" s="76"/>
      <c r="N34" s="39"/>
      <c r="O34" s="39"/>
      <c r="P34" s="40"/>
      <c r="Q34" s="40"/>
      <c r="R34" s="40"/>
    </row>
    <row r="35" spans="1:18" x14ac:dyDescent="0.25">
      <c r="A35">
        <v>30</v>
      </c>
      <c r="B35" s="29"/>
      <c r="C35" s="30"/>
      <c r="D35" s="32"/>
      <c r="E35" s="32"/>
      <c r="F35" s="36"/>
      <c r="G35" s="34"/>
      <c r="H35" s="32"/>
      <c r="I35" s="35"/>
      <c r="J35" s="24"/>
      <c r="K35" s="24"/>
      <c r="L35" s="28"/>
      <c r="M35" s="76"/>
      <c r="N35" s="39"/>
      <c r="O35" s="39"/>
      <c r="P35" s="40"/>
      <c r="Q35" s="40"/>
      <c r="R35" s="40"/>
    </row>
    <row r="36" spans="1:18" x14ac:dyDescent="0.25">
      <c r="A36">
        <v>31</v>
      </c>
      <c r="B36" s="29"/>
      <c r="C36" s="30"/>
      <c r="D36" s="32"/>
      <c r="E36" s="32"/>
      <c r="F36" s="36"/>
      <c r="G36" s="34"/>
      <c r="H36" s="32"/>
      <c r="I36" s="35"/>
      <c r="J36" s="24"/>
      <c r="K36" s="24"/>
      <c r="L36" s="28"/>
      <c r="M36" s="76"/>
      <c r="N36" s="39"/>
      <c r="O36" s="39"/>
      <c r="P36" s="40"/>
      <c r="Q36" s="40"/>
      <c r="R36" s="40"/>
    </row>
    <row r="38" spans="1:18" ht="31.5" customHeight="1" x14ac:dyDescent="0.25">
      <c r="B38" s="114" t="s">
        <v>33</v>
      </c>
      <c r="C38" s="114"/>
      <c r="D38" s="114"/>
      <c r="E38" s="114"/>
      <c r="F38" s="114"/>
      <c r="G38" s="114"/>
      <c r="H38" s="114"/>
      <c r="I38" s="114"/>
      <c r="J38" s="114"/>
      <c r="K38" s="114"/>
      <c r="L38" s="114"/>
      <c r="M38" s="114"/>
      <c r="N38" s="114"/>
      <c r="O38" s="114"/>
      <c r="P38" s="114"/>
      <c r="Q38" s="114"/>
      <c r="R38" s="114"/>
    </row>
    <row r="40" spans="1:18" x14ac:dyDescent="0.25">
      <c r="B40" s="23"/>
      <c r="C40" s="16" t="s">
        <v>40</v>
      </c>
    </row>
    <row r="41" spans="1:18" x14ac:dyDescent="0.25">
      <c r="B41" s="22"/>
      <c r="C41" s="16" t="s">
        <v>41</v>
      </c>
    </row>
    <row r="42" spans="1:18" x14ac:dyDescent="0.25">
      <c r="B42" s="27"/>
      <c r="C42" s="16" t="s">
        <v>42</v>
      </c>
    </row>
  </sheetData>
  <mergeCells count="14">
    <mergeCell ref="R4:R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3662B-03B1-45F1-B75D-9B9A81F60C36}">
  <sheetPr codeName="Sheet6"/>
  <dimension ref="A1:G16"/>
  <sheetViews>
    <sheetView workbookViewId="0">
      <selection activeCell="D15" sqref="D15"/>
    </sheetView>
  </sheetViews>
  <sheetFormatPr defaultRowHeight="15" x14ac:dyDescent="0.25"/>
  <cols>
    <col min="1" max="1" width="4.85546875" customWidth="1"/>
    <col min="2" max="2" width="26.42578125" bestFit="1" customWidth="1"/>
    <col min="3" max="3" width="9" style="4" bestFit="1" customWidth="1"/>
    <col min="4" max="4" width="10.7109375" bestFit="1" customWidth="1"/>
    <col min="5" max="5" width="11.5703125" customWidth="1"/>
    <col min="6" max="6" width="10.85546875" bestFit="1" customWidth="1"/>
    <col min="7" max="7" width="14.28515625" bestFit="1" customWidth="1"/>
  </cols>
  <sheetData>
    <row r="1" spans="1:7" x14ac:dyDescent="0.25">
      <c r="A1" t="s">
        <v>5</v>
      </c>
    </row>
    <row r="2" spans="1:7" x14ac:dyDescent="0.25">
      <c r="A2">
        <v>1</v>
      </c>
      <c r="B2" t="s">
        <v>3</v>
      </c>
    </row>
    <row r="3" spans="1:7" x14ac:dyDescent="0.25">
      <c r="B3" t="s">
        <v>2</v>
      </c>
      <c r="C3" s="6">
        <v>9</v>
      </c>
    </row>
    <row r="4" spans="1:7" x14ac:dyDescent="0.25">
      <c r="B4" t="s">
        <v>11</v>
      </c>
      <c r="C4" s="6">
        <v>0.13400000000000001</v>
      </c>
    </row>
    <row r="5" spans="1:7" x14ac:dyDescent="0.25">
      <c r="B5" t="s">
        <v>12</v>
      </c>
      <c r="C5" s="6">
        <v>0.13900000000000001</v>
      </c>
    </row>
    <row r="6" spans="1:7" x14ac:dyDescent="0.25">
      <c r="A6">
        <v>2</v>
      </c>
      <c r="B6" t="s">
        <v>4</v>
      </c>
    </row>
    <row r="7" spans="1:7" x14ac:dyDescent="0.25">
      <c r="B7" t="s">
        <v>2</v>
      </c>
      <c r="C7" s="4">
        <v>9</v>
      </c>
    </row>
    <row r="8" spans="1:7" x14ac:dyDescent="0.25">
      <c r="B8" s="8" t="s">
        <v>11</v>
      </c>
      <c r="C8" s="6">
        <v>9.1999999999999998E-2</v>
      </c>
      <c r="D8" s="2" t="s">
        <v>9</v>
      </c>
    </row>
    <row r="9" spans="1:7" x14ac:dyDescent="0.25">
      <c r="B9" t="s">
        <v>12</v>
      </c>
      <c r="C9" s="6">
        <v>6.2E-2</v>
      </c>
      <c r="D9" s="2" t="s">
        <v>10</v>
      </c>
    </row>
    <row r="10" spans="1:7" x14ac:dyDescent="0.25">
      <c r="B10" s="8" t="s">
        <v>11</v>
      </c>
      <c r="C10" s="6">
        <v>9.4E-2</v>
      </c>
      <c r="D10" s="2" t="s">
        <v>9</v>
      </c>
    </row>
    <row r="11" spans="1:7" x14ac:dyDescent="0.25">
      <c r="B11" t="s">
        <v>12</v>
      </c>
      <c r="C11" s="6">
        <v>6.4000000000000001E-2</v>
      </c>
      <c r="D11" s="2" t="s">
        <v>10</v>
      </c>
    </row>
    <row r="12" spans="1:7" x14ac:dyDescent="0.25">
      <c r="B12" s="13"/>
      <c r="C12" s="6"/>
      <c r="D12" s="2"/>
    </row>
    <row r="13" spans="1:7" x14ac:dyDescent="0.25">
      <c r="B13" s="14" t="s">
        <v>13</v>
      </c>
      <c r="C13" s="6" t="s">
        <v>15</v>
      </c>
      <c r="D13" s="2"/>
    </row>
    <row r="14" spans="1:7" x14ac:dyDescent="0.25">
      <c r="B14" t="s">
        <v>14</v>
      </c>
      <c r="C14" s="121" t="s">
        <v>16</v>
      </c>
      <c r="D14" s="121"/>
      <c r="E14" s="121"/>
      <c r="F14" t="s">
        <v>31</v>
      </c>
      <c r="G14" t="s">
        <v>32</v>
      </c>
    </row>
    <row r="15" spans="1:7" x14ac:dyDescent="0.25">
      <c r="B15" t="s">
        <v>6</v>
      </c>
      <c r="C15" s="5">
        <v>0.375</v>
      </c>
      <c r="D15" s="3">
        <v>0.875</v>
      </c>
      <c r="E15" t="s">
        <v>8</v>
      </c>
      <c r="F15">
        <f>HOUR(D15-C15)</f>
        <v>12</v>
      </c>
      <c r="G15">
        <f>24-F15</f>
        <v>12</v>
      </c>
    </row>
    <row r="16" spans="1:7" x14ac:dyDescent="0.25">
      <c r="B16" t="s">
        <v>7</v>
      </c>
      <c r="C16" s="5">
        <v>0.375</v>
      </c>
      <c r="D16" s="3">
        <v>0.875</v>
      </c>
      <c r="E16" t="s">
        <v>8</v>
      </c>
      <c r="F16">
        <f>HOUR(D16-C16)</f>
        <v>12</v>
      </c>
      <c r="G16">
        <f>24-F16</f>
        <v>12</v>
      </c>
    </row>
  </sheetData>
  <mergeCells count="1">
    <mergeCell ref="C14:E1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Summary</vt:lpstr>
      <vt:lpstr>Charge_Calculator</vt:lpstr>
      <vt:lpstr>Charging_Log-2024-1</vt:lpstr>
      <vt:lpstr>Charging_Log-Template</vt:lpstr>
      <vt:lpstr>License Terms</vt:lpstr>
      <vt:lpstr>Release Notes</vt:lpstr>
      <vt:lpstr>Charging_Log-2023-12</vt:lpstr>
      <vt:lpstr>Rates</vt:lpstr>
      <vt:lpstr>afterKwhH</vt:lpstr>
      <vt:lpstr>afterKwhP</vt:lpstr>
      <vt:lpstr>afterMilesH</vt:lpstr>
      <vt:lpstr>afterMilesP</vt:lpstr>
      <vt:lpstr>afterODO</vt:lpstr>
      <vt:lpstr>afterPercH</vt:lpstr>
      <vt:lpstr>afterPercP</vt:lpstr>
      <vt:lpstr>afterTimeH</vt:lpstr>
      <vt:lpstr>afterTimeP</vt:lpstr>
      <vt:lpstr>beforeMiles</vt:lpstr>
      <vt:lpstr>beforePerc</vt:lpstr>
      <vt:lpstr>beforeTime</vt:lpstr>
      <vt:lpstr>lastOdo</vt:lpstr>
      <vt:lpstr>mpg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Barry Goldstein</dc:creator>
  <cp:lastModifiedBy>Barry Goldstein</cp:lastModifiedBy>
  <dcterms:created xsi:type="dcterms:W3CDTF">2023-12-03T00:58:25Z</dcterms:created>
  <dcterms:modified xsi:type="dcterms:W3CDTF">2024-02-01T15:16:41Z</dcterms:modified>
</cp:coreProperties>
</file>